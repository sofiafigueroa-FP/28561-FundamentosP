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C9446E76-B051-4C24-88F2-8E829A47B2A6}" xr6:coauthVersionLast="47" xr6:coauthVersionMax="47" xr10:uidLastSave="{00000000-0000-0000-0000-000000000000}"/>
  <bookViews>
    <workbookView xWindow="-108" yWindow="-108" windowWidth="23256" windowHeight="12456" activeTab="1"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j/6vPIviJPFrN6TLB5bKIb/0uhzg=="/>
    </ext>
  </extLst>
</workbook>
</file>

<file path=xl/calcChain.xml><?xml version="1.0" encoding="utf-8"?>
<calcChain xmlns="http://schemas.openxmlformats.org/spreadsheetml/2006/main">
  <c r="M15" i="2" l="1"/>
  <c r="L22" i="2"/>
  <c r="E22" i="2"/>
  <c r="E19" i="2"/>
  <c r="H15" i="2"/>
  <c r="D15" i="2"/>
  <c r="H13" i="2"/>
  <c r="E13" i="2"/>
  <c r="C13" i="2"/>
  <c r="H10" i="2"/>
  <c r="E10" i="2"/>
</calcChain>
</file>

<file path=xl/sharedStrings.xml><?xml version="1.0" encoding="utf-8"?>
<sst xmlns="http://schemas.openxmlformats.org/spreadsheetml/2006/main" count="154" uniqueCount="112">
  <si>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</si>
  <si>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</si>
  <si>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</si>
  <si>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</si>
  <si>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</si>
  <si>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</si>
  <si>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</si>
  <si>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</si>
  <si>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</si>
  <si>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</si>
  <si>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</si>
  <si>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</si>
  <si>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</si>
  <si>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</si>
  <si>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</si>
  <si>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</si>
  <si>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 xml:space="preserve">Media </t>
  </si>
  <si>
    <t>Terminado</t>
  </si>
  <si>
    <t>Alta</t>
  </si>
  <si>
    <t>No iniciado</t>
  </si>
  <si>
    <t>En proceso</t>
  </si>
  <si>
    <t>Baja</t>
  </si>
  <si>
    <t>Atrasado</t>
  </si>
  <si>
    <t>HISTORIA DE USUARIO (HU)</t>
  </si>
  <si>
    <t>USUARIO</t>
  </si>
  <si>
    <t>TIEMPO</t>
  </si>
  <si>
    <t>PROG. RESP</t>
  </si>
  <si>
    <t>QUE</t>
  </si>
  <si>
    <t>PARA QUE</t>
  </si>
  <si>
    <t>COMO</t>
  </si>
  <si>
    <t>NOMBRE HISTORIA</t>
  </si>
  <si>
    <t>PRUEBA</t>
  </si>
  <si>
    <t>3 horas</t>
  </si>
  <si>
    <t>REQ002</t>
  </si>
  <si>
    <t>Alexander</t>
  </si>
  <si>
    <t>4 horas</t>
  </si>
  <si>
    <t>REQ003</t>
  </si>
  <si>
    <t>Santiago</t>
  </si>
  <si>
    <t>REQ004</t>
  </si>
  <si>
    <t>Media</t>
  </si>
  <si>
    <t>REQ005</t>
  </si>
  <si>
    <t>REQ006</t>
  </si>
  <si>
    <t>REQ007</t>
  </si>
  <si>
    <t>REQ008</t>
  </si>
  <si>
    <t>Todos</t>
  </si>
  <si>
    <t>Registro Inicial de Vivienda</t>
  </si>
  <si>
    <t>Registro de Horario de Uso</t>
  </si>
  <si>
    <t>REQ009</t>
  </si>
  <si>
    <t>Verónica Córdova</t>
  </si>
  <si>
    <t>&lt;</t>
  </si>
  <si>
    <t>El programa necesita iniciar registrando datos básicos de la vivienda antes de continuar con el sistema.</t>
  </si>
  <si>
    <t>El programa deberá solicitar cuántos pisos tiene la casa y cuántos espacios principales existen.</t>
  </si>
  <si>
    <t>Guardar la información inicial de la vivienda para configurar el sistema de iluminación.</t>
  </si>
  <si>
    <t>1. Mostrar el título del sistema. 2. Pedir cuántos pisos tiene la vivienda. 3. Pedir cuántos espacios principales tiene. 4. Guardar los datos en la estructura Vivienda usando punteros. 5. Mostrar los datos registrados.</t>
  </si>
  <si>
    <t>Sofía Figueroa</t>
  </si>
  <si>
    <t>Ejecutar el programa y verificar que permita ingresar pisos y espacios, y que luego muestre esos datos en pantalla.</t>
  </si>
  <si>
    <t>Función registrarVivienda() y estructura Vivienda.</t>
  </si>
  <si>
    <t>El programa necesita registrar de forma libre el espacio donde más se usan las luces, sin opciones predeterminadas.</t>
  </si>
  <si>
    <t>El programa deberá permitir que el usuario escriba el espacio donde más utiliza la iluminación.</t>
  </si>
  <si>
    <t>Identificar el espacio principal de mayor uso de luz dentro de la vivienda.</t>
  </si>
  <si>
    <t>1. Solicitar al usuario el espacio donde más se usan las luces. 2. Leer el texto con fgets. 3. Quitar el salto de línea. 4. Guardar el dato en espacioLuz. 5. Mostrar el espacio registrado.</t>
  </si>
  <si>
    <t>Ingresar un lugar escrito por el usuario, por ejemplo cocina o sala, y comprobar que el programa lo guarde y lo muestre correctamente.</t>
  </si>
  <si>
    <t>Se eliminó el menú de pasillo/baño/sala para permitir respuesta libre del usuario.</t>
  </si>
  <si>
    <t>Registro Libre de Espacio con Luz</t>
  </si>
  <si>
    <t>El programa necesita identificar uno o varios lugares donde se olvidan las luces encendidas.</t>
  </si>
  <si>
    <t>El programa deberá permitir registrar un lugar del problema y preguntar si desea agregar otro lugar.</t>
  </si>
  <si>
    <t>Determinar las zonas donde existe mayor olvido de luces encendidas para considerar la ubicación del sistema.</t>
  </si>
  <si>
    <t>1. Pedir al usuario el lugar donde se olvidan más las luces encendidas. 2. Guardar el lugar en zonaProblema. 3. Preguntar si desea registrar otro lugar. 4. Repetir el registro si responde sí. 5. Mostrar la lista de lugares registrados.</t>
  </si>
  <si>
    <t>Registrar más de un lugar, por ejemplo baño y cocina, y verificar que ambos aparezcan en la lista de zonas del problema.</t>
  </si>
  <si>
    <t>Se usa MAX_ZONAS para permitir varios lugares sin usar opciones fijas.</t>
  </si>
  <si>
    <t>Registro de Zonas del Problema</t>
  </si>
  <si>
    <t>El programa necesita conocer el horario en el que se usan más las luces en la vivienda.</t>
  </si>
  <si>
    <t>El programa deberá solicitar que el usuario escriba el horario de mayor uso de iluminación.</t>
  </si>
  <si>
    <t>Conocer en qué momento del día el sistema automático sería más útil.</t>
  </si>
  <si>
    <t>1. Pedir al usuario el horario de mayor uso de las luces. 2. Leer el texto ingresado. 3. Guardar el horario en horarioUso. 4. Mostrar el horario registrado.</t>
  </si>
  <si>
    <t>Ingresar un horario libre, por ejemplo noche o de 18h00 a 22h00, y verificar que se registre correctamente.</t>
  </si>
  <si>
    <t>Función registrarHorarioUso() con ingreso libre por teclado.</t>
  </si>
  <si>
    <t>El programa necesita configurar el tiempo de espera antes del apagado automático.</t>
  </si>
  <si>
    <t>El programa deberá pedir en una sola entrada el tiempo de espera en segundos o minutos.</t>
  </si>
  <si>
    <t>Guardar el tiempo de apagado para simular cuánto esperará la luz antes de apagarse.</t>
  </si>
  <si>
    <t>1. Solicitar el tiempo de espera en una sola línea. 2. Permitir que el usuario escriba un valor con la unidad segundos o minutos. 3. Validar que el valor sea mayor a cero. 4. Convertir minutos a segundos si corresponde. 5. Guardar el tiempo en tiempoApagado.</t>
  </si>
  <si>
    <t>Probar con 30 segundos y con 2 minutos; verificar que 2 minutos se guarde como 120 segundos y que no acepte valores menores o iguales a cero.</t>
  </si>
  <si>
    <t>Función registrarTiempoApagado(); ejemplo de entrada: 30 segundos o 2 minutos.</t>
  </si>
  <si>
    <t>Configuración de Tiempo de Apagado</t>
  </si>
  <si>
    <t>El programa necesita registrar la ubicación donde el usuario desea colocar el sensor y si existen obstáculos.</t>
  </si>
  <si>
    <t>El programa deberá permitir escribir libremente la ubicación del sensor y los obstáculos del lugar.</t>
  </si>
  <si>
    <t>Definir si el lugar propuesto para el sensor puede detectar presencia correctamente.</t>
  </si>
  <si>
    <t>1. Pedir dónde desea colocar el sensor de movimiento. 2. Leer la ubicación escrita por el usuario. 3. Preguntar si existen obstáculos. 4. Guardar la información. 5. Mostrar la ubicación y los obstáculos indicados.</t>
  </si>
  <si>
    <t>Ingresar una ubicación, por ejemplo pared cerca de la puerta, y un obstáculo; verificar que ambos datos aparezcan en pantalla y en el resumen.</t>
  </si>
  <si>
    <t>Se mantiene ingreso libre con fgets para que el usuario escriba su caso real.</t>
  </si>
  <si>
    <t>Registro de Ubicación del Sensor</t>
  </si>
  <si>
    <t>El programa necesita guardar la información registrada en la computadora.</t>
  </si>
  <si>
    <t>El programa deberá crear una carpeta y un archivo con los datos del usuario.</t>
  </si>
  <si>
    <t>Conservar un documento con el resumen de la información ingresada para revisión posterior.</t>
  </si>
  <si>
    <t>1. Crear la carpeta DatosUsuario. 2. Crear el archivo datos_del_usuario.txt. 3. Escribir el resumen de vivienda, zonas, horario, tiempo, ubicación y obstáculos. 4. Cerrar el archivo correctamente.</t>
  </si>
  <si>
    <t>Ejecutar el programa y verificar que se cree la carpeta DatosUsuario con el archivo datos_del_usuario.txt y que contenga el resumen.</t>
  </si>
  <si>
    <t>Se usa _mkdir() y FILE para guardar los datos del usuario.</t>
  </si>
  <si>
    <t>Almacenamiento de Datos del Usuario</t>
  </si>
  <si>
    <t>El usuario puede equivocarse o necesitar cambiar la información ingresada.</t>
  </si>
  <si>
    <t>El programa deberá permitir actualizar los datos registrados.</t>
  </si>
  <si>
    <t>Modificar información sin tener que reiniciar todo el programa manualmente.</t>
  </si>
  <si>
    <t>1. Preguntar si desea realizar algún cambio. 2. Mostrar opciones para actualizar vivienda, espacio, zonas, horario, tiempo o ubicación. 3. Llamar nuevamente a la función correspondiente. 4. Mostrar el resumen actualizado. 5. Guardar nuevamente el archivo.</t>
  </si>
  <si>
    <t>Registrar datos iniciales, escoger actualizar, cambiar un dato y verificar que el resumen y el archivo se actualicen.</t>
  </si>
  <si>
    <t>Función actualizarDatos() reutiliza las funciones de cada requerimiento.</t>
  </si>
  <si>
    <t>Actualización de Datos</t>
  </si>
  <si>
    <t>El usuario puede cambiar de vivienda y necesitar borrar la información anterior.</t>
  </si>
  <si>
    <t>El programa deberá permitir borrar los datos registrados por cambio de vivienda.</t>
  </si>
  <si>
    <t>Reiniciar la información del sistema para poder registrar una nueva vivienda.</t>
  </si>
  <si>
    <t>1. Preguntar al final si desea borrar datos por cambio de vivienda. 2. Colocar en cero los datos numéricos. 3. Vaciar las cadenas de texto. 4. Reiniciar la cantidad de zonas. 5. Guardar el archivo con los datos borrados.</t>
  </si>
  <si>
    <t>Seleccionar la opción borrar datos y verificar que el resumen quede vacío o en cero y que el archivo se actualice.</t>
  </si>
  <si>
    <t>Función borrarDatos() limpia estructuras Vivienda y SistemaIluminacion.</t>
  </si>
  <si>
    <t>Borrado de Datos por Cambio de Vivienda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</si>
</sst>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ont>
    <font>
      <sz val="11"/>
      <color theme="1"/>
      <name val="Calibri"/>
    </font>
    <font>
      <b/>
      <i/>
      <sz val="11"/>
      <color rgb="FF9C6500"/>
      <name val="Calibri"/>
    </font>
    <font>
      <b/>
      <i/>
      <sz val="11"/>
      <color rgb="FFFF0000"/>
      <name val="Calibri"/>
    </font>
    <font>
      <b/>
      <sz val="11"/>
      <color theme="1"/>
      <name val="Calibri"/>
    </font>
    <font>
      <b/>
      <sz val="16"/>
      <color theme="1"/>
      <name val="Calibri"/>
    </font>
    <font>
      <sz val="11"/>
      <name val="Arial"/>
    </font>
    <font>
      <b/>
      <sz val="11"/>
      <color theme="0"/>
      <name val="Calibri"/>
    </font>
    <font>
      <b/>
      <sz val="11"/>
      <color rgb="FFFA7D00"/>
      <name val="Calibri"/>
    </font>
    <font>
      <sz val="12"/>
      <color theme="1"/>
      <name val="Calibri"/>
    </font>
    <font>
      <b/>
      <i/>
      <sz val="12"/>
      <color rgb="FF9C6500"/>
      <name val="Calibri"/>
    </font>
    <font>
      <sz val="8"/>
      <name val="Arial"/>
    </font>
    <font>
      <b/>
      <i/>
      <u/>
      <sz val="16"/>
      <color theme="1"/>
      <name val="Calibri"/>
      <family val="2"/>
    </font>
    <font>
      <u/>
      <sz val="11"/>
      <color theme="1"/>
      <name val="Arial"/>
      <family val="2"/>
    </font>
    <font>
      <sz val="11"/>
      <color theme="1"/>
      <name val="Arial"/>
      <family val="2"/>
    </font>
    <font>
      <b/>
      <i/>
      <sz val="11"/>
      <color rgb="FF9C6500"/>
      <name val="Calibri"/>
      <family val="2"/>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1" fillId="0" borderId="0" xfId="0" applyFont="1"/>
    <xf numFmtId="0" fontId="0" fillId="0" borderId="0" xfId="0" applyAlignment="1">
      <alignment vertical="center"/>
    </xf>
    <xf numFmtId="0" fontId="0" fillId="0" borderId="0" xfId="0" applyAlignment="1">
      <alignment horizont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4" borderId="4" xfId="0" applyFont="1" applyFill="1" applyBorder="1" applyAlignment="1">
      <alignment horizontal="center" vertical="center"/>
    </xf>
    <xf numFmtId="0" fontId="8" fillId="3" borderId="5" xfId="0" applyFont="1" applyFill="1" applyBorder="1" applyAlignment="1">
      <alignment vertical="center"/>
    </xf>
    <xf numFmtId="0" fontId="0" fillId="3" borderId="5" xfId="0" applyFill="1" applyBorder="1"/>
    <xf numFmtId="0" fontId="9" fillId="5" borderId="4" xfId="0" applyFont="1" applyFill="1" applyBorder="1" applyAlignment="1">
      <alignment horizontal="center" vertical="center"/>
    </xf>
    <xf numFmtId="0" fontId="1" fillId="3" borderId="5" xfId="0" applyFont="1" applyFill="1" applyBorder="1" applyAlignment="1">
      <alignment vertical="center" wrapText="1"/>
    </xf>
    <xf numFmtId="0" fontId="1" fillId="3" borderId="5" xfId="0" applyFont="1" applyFill="1" applyBorder="1" applyAlignment="1">
      <alignment vertical="center"/>
    </xf>
    <xf numFmtId="0" fontId="9" fillId="3" borderId="5" xfId="0" applyFont="1" applyFill="1" applyBorder="1" applyAlignment="1">
      <alignment horizontal="center" vertical="center"/>
    </xf>
    <xf numFmtId="0" fontId="1" fillId="3" borderId="5" xfId="0" applyFont="1" applyFill="1" applyBorder="1" applyAlignment="1">
      <alignment horizontal="center" vertical="center"/>
    </xf>
    <xf numFmtId="0" fontId="0" fillId="3" borderId="20" xfId="0" applyFill="1" applyBorder="1"/>
    <xf numFmtId="0" fontId="0" fillId="3" borderId="21" xfId="0" applyFill="1" applyBorder="1"/>
    <xf numFmtId="0" fontId="0" fillId="3" borderId="22" xfId="0" applyFill="1" applyBorder="1"/>
    <xf numFmtId="0" fontId="0" fillId="3" borderId="7" xfId="0" applyFill="1" applyBorder="1"/>
    <xf numFmtId="0" fontId="4" fillId="3" borderId="9" xfId="0" applyFont="1" applyFill="1" applyBorder="1" applyAlignment="1">
      <alignment horizontal="left" vertical="center" wrapText="1"/>
    </xf>
    <xf numFmtId="0" fontId="1" fillId="3" borderId="9" xfId="0" applyFont="1" applyFill="1" applyBorder="1"/>
    <xf numFmtId="0" fontId="0" fillId="3" borderId="9" xfId="0" applyFill="1" applyBorder="1"/>
    <xf numFmtId="0" fontId="0" fillId="3" borderId="8" xfId="0" applyFill="1" applyBorder="1"/>
    <xf numFmtId="0" fontId="0" fillId="3" borderId="11" xfId="0" applyFill="1" applyBorder="1"/>
    <xf numFmtId="0" fontId="0" fillId="3" borderId="12" xfId="0" applyFill="1" applyBorder="1"/>
    <xf numFmtId="0" fontId="1" fillId="0" borderId="23" xfId="0" applyFont="1" applyBorder="1" applyAlignment="1">
      <alignment horizontal="center"/>
    </xf>
    <xf numFmtId="0" fontId="1" fillId="0" borderId="23" xfId="0" applyFont="1" applyBorder="1" applyAlignment="1">
      <alignment horizontal="center" vertical="center"/>
    </xf>
    <xf numFmtId="0" fontId="14" fillId="0" borderId="0" xfId="0" applyFont="1"/>
    <xf numFmtId="0" fontId="2" fillId="2" borderId="23"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5" fillId="2" borderId="23" xfId="0" applyFont="1" applyFill="1" applyBorder="1" applyAlignment="1">
      <alignment horizontal="center" vertical="center" wrapText="1"/>
    </xf>
    <xf numFmtId="0" fontId="0" fillId="0" borderId="23" xfId="0" applyBorder="1" applyAlignment="1">
      <alignment vertical="center" wrapText="1"/>
    </xf>
    <xf numFmtId="14" fontId="0" fillId="0" borderId="23" xfId="0" applyNumberFormat="1" applyBorder="1" applyAlignment="1">
      <alignment vertical="center" wrapText="1"/>
    </xf>
    <xf numFmtId="0" fontId="0" fillId="0" borderId="5" xfId="0" applyBorder="1" applyAlignment="1">
      <alignment vertical="center" wrapText="1"/>
    </xf>
    <xf numFmtId="0" fontId="0" fillId="0" borderId="5" xfId="0" applyBorder="1"/>
    <xf numFmtId="0" fontId="1" fillId="0" borderId="5" xfId="0" applyFont="1" applyBorder="1" applyAlignment="1">
      <alignment horizontal="center" vertical="center"/>
    </xf>
    <xf numFmtId="0" fontId="1" fillId="0" borderId="5" xfId="0" applyFont="1" applyBorder="1" applyAlignment="1">
      <alignment horizontal="center"/>
    </xf>
    <xf numFmtId="0" fontId="0" fillId="0" borderId="5" xfId="0" applyBorder="1" applyAlignment="1">
      <alignment horizontal="center" vertical="center"/>
    </xf>
    <xf numFmtId="0" fontId="0" fillId="0" borderId="23" xfId="0" applyBorder="1" applyAlignment="1">
      <alignment horizontal="center" wrapText="1"/>
    </xf>
    <xf numFmtId="14" fontId="0" fillId="0" borderId="23" xfId="0" applyNumberFormat="1" applyBorder="1" applyAlignment="1">
      <alignment horizontal="center" wrapText="1"/>
    </xf>
    <xf numFmtId="0" fontId="12" fillId="0" borderId="0" xfId="0" applyFont="1" applyAlignment="1">
      <alignment horizontal="center" vertical="center"/>
    </xf>
    <xf numFmtId="0" fontId="13" fillId="0" borderId="0" xfId="0" applyFont="1"/>
    <xf numFmtId="0" fontId="7" fillId="6" borderId="6" xfId="0" applyFont="1" applyFill="1" applyBorder="1" applyAlignment="1">
      <alignment horizontal="center" vertical="center"/>
    </xf>
    <xf numFmtId="0" fontId="6" fillId="0" borderId="10" xfId="0" applyFont="1" applyBorder="1"/>
    <xf numFmtId="0" fontId="6" fillId="0" borderId="13" xfId="0" applyFont="1" applyBorder="1"/>
    <xf numFmtId="0" fontId="1" fillId="5" borderId="7" xfId="0" applyFont="1" applyFill="1" applyBorder="1" applyAlignment="1">
      <alignment horizontal="center" vertical="center"/>
    </xf>
    <xf numFmtId="0" fontId="6" fillId="0" borderId="9" xfId="0" applyFont="1" applyBorder="1"/>
    <xf numFmtId="0" fontId="6" fillId="0" borderId="8" xfId="0" applyFont="1" applyBorder="1"/>
    <xf numFmtId="0" fontId="6" fillId="0" borderId="11" xfId="0" applyFont="1" applyBorder="1"/>
    <xf numFmtId="0" fontId="0" fillId="0" borderId="0" xfId="0"/>
    <xf numFmtId="0" fontId="6" fillId="0" borderId="12" xfId="0" applyFont="1" applyBorder="1"/>
    <xf numFmtId="0" fontId="6" fillId="0" borderId="20" xfId="0" applyFont="1" applyBorder="1"/>
    <xf numFmtId="0" fontId="6" fillId="0" borderId="21" xfId="0" applyFont="1" applyBorder="1"/>
    <xf numFmtId="0" fontId="6" fillId="0" borderId="22" xfId="0" applyFont="1" applyBorder="1"/>
    <xf numFmtId="0" fontId="9" fillId="2" borderId="14" xfId="0" applyFont="1" applyFill="1" applyBorder="1" applyAlignment="1">
      <alignment horizontal="center" vertical="center"/>
    </xf>
    <xf numFmtId="0" fontId="6" fillId="0" borderId="15" xfId="0" applyFont="1" applyBorder="1"/>
    <xf numFmtId="0" fontId="6" fillId="0" borderId="16" xfId="0" applyFont="1" applyBorder="1"/>
    <xf numFmtId="0" fontId="6" fillId="0" borderId="17" xfId="0" applyFont="1" applyBorder="1"/>
    <xf numFmtId="0" fontId="6" fillId="0" borderId="18" xfId="0" applyFont="1" applyBorder="1"/>
    <xf numFmtId="0" fontId="6" fillId="0" borderId="19" xfId="0" applyFont="1" applyBorder="1"/>
    <xf numFmtId="0" fontId="7" fillId="4" borderId="1" xfId="0" applyFont="1" applyFill="1" applyBorder="1" applyAlignment="1">
      <alignment horizontal="center" vertical="center"/>
    </xf>
    <xf numFmtId="0" fontId="6" fillId="0" borderId="3" xfId="0" applyFont="1" applyBorder="1"/>
    <xf numFmtId="0" fontId="1" fillId="5" borderId="1" xfId="0" applyFont="1" applyFill="1" applyBorder="1" applyAlignment="1">
      <alignment horizontal="center" vertical="center"/>
    </xf>
    <xf numFmtId="0" fontId="10" fillId="7" borderId="7" xfId="0" applyFont="1" applyFill="1" applyBorder="1" applyAlignment="1">
      <alignment horizontal="center" vertical="center"/>
    </xf>
    <xf numFmtId="0" fontId="7" fillId="4" borderId="7"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2" xfId="0" applyFont="1" applyBorder="1"/>
    <xf numFmtId="0" fontId="1" fillId="5" borderId="7" xfId="0"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8"/>
  <sheetViews>
    <sheetView showGridLines="0" topLeftCell="A6" zoomScale="70" zoomScaleNormal="70" workbookViewId="0">
      <selection activeCell="R7" sqref="R7"/>
    </sheetView>
  </sheetViews>
  <sheetFormatPr baseColWidth="10" defaultColWidth="12.59765625" defaultRowHeight="15" customHeight="1" x14ac:dyDescent="0.25"/>
  <cols>
    <col min="1" max="1" width="4.59765625" customWidth="1"/>
    <col min="2" max="2" width="8.09765625" customWidth="1"/>
    <col min="3" max="5" width="20.59765625" customWidth="1"/>
    <col min="6" max="6" width="10.59765625" customWidth="1"/>
    <col min="7" max="7" width="32.5" customWidth="1"/>
    <col min="8" max="12" width="10.59765625" customWidth="1"/>
    <col min="13" max="13" width="24.59765625" customWidth="1"/>
    <col min="14" max="15" width="20.59765625" customWidth="1"/>
    <col min="16" max="26" width="9.19921875" customWidth="1"/>
  </cols>
  <sheetData>
    <row r="1" spans="1:26" ht="14.4" x14ac:dyDescent="0.3">
      <c r="I1" s="1"/>
      <c r="J1" s="1"/>
      <c r="K1" s="2"/>
      <c r="L1" s="3"/>
    </row>
    <row r="2" spans="1:26" ht="14.4" x14ac:dyDescent="0.3">
      <c r="I2" s="1"/>
      <c r="J2" s="1"/>
      <c r="K2" s="2"/>
      <c r="L2" s="3"/>
    </row>
    <row r="3" spans="1:26" ht="45" customHeight="1" x14ac:dyDescent="0.25">
      <c r="B3" s="44" t="s">
        <v>0</v>
      </c>
      <c r="C3" s="45"/>
      <c r="D3" s="45"/>
      <c r="E3" s="45"/>
      <c r="F3" s="45"/>
      <c r="G3" s="45"/>
      <c r="H3" s="45"/>
      <c r="I3" s="45"/>
      <c r="J3" s="45"/>
      <c r="K3" s="45"/>
      <c r="L3" s="45"/>
      <c r="M3" s="45"/>
      <c r="N3" s="45"/>
      <c r="O3" s="45"/>
    </row>
    <row r="4" spans="1:26" ht="5.25" customHeight="1" x14ac:dyDescent="0.3">
      <c r="H4" s="4"/>
      <c r="I4" s="1"/>
      <c r="J4" s="1"/>
      <c r="K4" s="2"/>
      <c r="L4" s="3"/>
    </row>
    <row r="5" spans="1:26" ht="78.75" customHeight="1" x14ac:dyDescent="0.25">
      <c r="B5" s="34" t="s">
        <v>1</v>
      </c>
      <c r="C5" s="30" t="s">
        <v>2</v>
      </c>
      <c r="D5" s="31" t="s">
        <v>3</v>
      </c>
      <c r="E5" s="30" t="s">
        <v>4</v>
      </c>
      <c r="F5" s="30" t="s">
        <v>5</v>
      </c>
      <c r="G5" s="30" t="s">
        <v>6</v>
      </c>
      <c r="H5" s="30" t="s">
        <v>7</v>
      </c>
      <c r="I5" s="30" t="s">
        <v>8</v>
      </c>
      <c r="J5" s="30" t="s">
        <v>9</v>
      </c>
      <c r="K5" s="30" t="s">
        <v>10</v>
      </c>
      <c r="L5" s="30" t="s">
        <v>11</v>
      </c>
      <c r="M5" s="30" t="s">
        <v>12</v>
      </c>
      <c r="N5" s="30" t="s">
        <v>13</v>
      </c>
      <c r="O5" s="30" t="s">
        <v>14</v>
      </c>
    </row>
    <row r="6" spans="1:26" ht="103.5" customHeight="1" x14ac:dyDescent="0.25">
      <c r="B6" s="35" t="s">
        <v>15</v>
      </c>
      <c r="C6" s="35" t="s">
        <v>50</v>
      </c>
      <c r="D6" s="35" t="s">
        <v>51</v>
      </c>
      <c r="E6" s="35" t="s">
        <v>52</v>
      </c>
      <c r="F6" s="35" t="s">
        <v>48</v>
      </c>
      <c r="G6" s="35" t="s">
        <v>53</v>
      </c>
      <c r="H6" s="35" t="s">
        <v>54</v>
      </c>
      <c r="I6" s="35" t="s">
        <v>32</v>
      </c>
      <c r="J6" s="36">
        <v>46191</v>
      </c>
      <c r="K6" s="35" t="s">
        <v>18</v>
      </c>
      <c r="L6" s="35" t="s">
        <v>19</v>
      </c>
      <c r="M6" s="35" t="s">
        <v>55</v>
      </c>
      <c r="N6" s="35" t="s">
        <v>56</v>
      </c>
      <c r="O6" s="35" t="s">
        <v>45</v>
      </c>
    </row>
    <row r="7" spans="1:26" ht="99.75" customHeight="1" x14ac:dyDescent="0.25">
      <c r="A7" s="5"/>
      <c r="B7" s="35" t="s">
        <v>33</v>
      </c>
      <c r="C7" s="35" t="s">
        <v>57</v>
      </c>
      <c r="D7" s="35" t="s">
        <v>58</v>
      </c>
      <c r="E7" s="35" t="s">
        <v>59</v>
      </c>
      <c r="F7" s="35" t="s">
        <v>48</v>
      </c>
      <c r="G7" s="35" t="s">
        <v>60</v>
      </c>
      <c r="H7" s="35" t="s">
        <v>34</v>
      </c>
      <c r="I7" s="35" t="s">
        <v>32</v>
      </c>
      <c r="J7" s="36">
        <v>46191</v>
      </c>
      <c r="K7" s="35" t="s">
        <v>18</v>
      </c>
      <c r="L7" s="35" t="s">
        <v>19</v>
      </c>
      <c r="M7" s="35" t="s">
        <v>61</v>
      </c>
      <c r="N7" s="35" t="s">
        <v>62</v>
      </c>
      <c r="O7" s="35" t="s">
        <v>63</v>
      </c>
      <c r="P7" s="5"/>
      <c r="Q7" s="5"/>
      <c r="R7" s="5"/>
      <c r="S7" s="5"/>
      <c r="T7" s="5"/>
      <c r="U7" s="5"/>
      <c r="V7" s="5"/>
      <c r="W7" s="5"/>
      <c r="X7" s="5"/>
      <c r="Y7" s="5"/>
      <c r="Z7" s="5"/>
    </row>
    <row r="8" spans="1:26" ht="78" customHeight="1" x14ac:dyDescent="0.25">
      <c r="B8" s="35" t="s">
        <v>36</v>
      </c>
      <c r="C8" s="35" t="s">
        <v>64</v>
      </c>
      <c r="D8" s="35" t="s">
        <v>65</v>
      </c>
      <c r="E8" s="35" t="s">
        <v>66</v>
      </c>
      <c r="F8" s="35" t="s">
        <v>48</v>
      </c>
      <c r="G8" s="35" t="s">
        <v>67</v>
      </c>
      <c r="H8" s="35" t="s">
        <v>37</v>
      </c>
      <c r="I8" s="35" t="s">
        <v>32</v>
      </c>
      <c r="J8" s="36">
        <v>46191</v>
      </c>
      <c r="K8" s="35" t="s">
        <v>18</v>
      </c>
      <c r="L8" s="35" t="s">
        <v>19</v>
      </c>
      <c r="M8" s="35" t="s">
        <v>68</v>
      </c>
      <c r="N8" s="35" t="s">
        <v>69</v>
      </c>
      <c r="O8" s="35" t="s">
        <v>70</v>
      </c>
    </row>
    <row r="9" spans="1:26" ht="78" customHeight="1" x14ac:dyDescent="0.25">
      <c r="B9" s="35" t="s">
        <v>38</v>
      </c>
      <c r="C9" s="35" t="s">
        <v>71</v>
      </c>
      <c r="D9" s="35" t="s">
        <v>72</v>
      </c>
      <c r="E9" s="35" t="s">
        <v>73</v>
      </c>
      <c r="F9" s="35" t="s">
        <v>48</v>
      </c>
      <c r="G9" s="35" t="s">
        <v>74</v>
      </c>
      <c r="H9" s="35" t="s">
        <v>54</v>
      </c>
      <c r="I9" s="35" t="s">
        <v>32</v>
      </c>
      <c r="J9" s="36">
        <v>46191</v>
      </c>
      <c r="K9" s="35" t="s">
        <v>39</v>
      </c>
      <c r="L9" s="35" t="s">
        <v>19</v>
      </c>
      <c r="M9" s="35" t="s">
        <v>75</v>
      </c>
      <c r="N9" s="35" t="s">
        <v>76</v>
      </c>
      <c r="O9" s="35" t="s">
        <v>46</v>
      </c>
    </row>
    <row r="10" spans="1:26" ht="66" customHeight="1" x14ac:dyDescent="0.25">
      <c r="B10" s="35" t="s">
        <v>40</v>
      </c>
      <c r="C10" s="35" t="s">
        <v>77</v>
      </c>
      <c r="D10" s="35" t="s">
        <v>78</v>
      </c>
      <c r="E10" s="35" t="s">
        <v>79</v>
      </c>
      <c r="F10" s="35" t="s">
        <v>48</v>
      </c>
      <c r="G10" s="35" t="s">
        <v>80</v>
      </c>
      <c r="H10" s="35" t="s">
        <v>34</v>
      </c>
      <c r="I10" s="35" t="s">
        <v>35</v>
      </c>
      <c r="J10" s="36">
        <v>46191</v>
      </c>
      <c r="K10" s="35" t="s">
        <v>18</v>
      </c>
      <c r="L10" s="35" t="s">
        <v>19</v>
      </c>
      <c r="M10" s="35" t="s">
        <v>81</v>
      </c>
      <c r="N10" s="35" t="s">
        <v>82</v>
      </c>
      <c r="O10" s="35" t="s">
        <v>83</v>
      </c>
      <c r="P10" s="29"/>
    </row>
    <row r="11" spans="1:26" ht="99.75" customHeight="1" x14ac:dyDescent="0.25">
      <c r="B11" s="35" t="s">
        <v>41</v>
      </c>
      <c r="C11" s="35" t="s">
        <v>84</v>
      </c>
      <c r="D11" s="35" t="s">
        <v>85</v>
      </c>
      <c r="E11" s="35" t="s">
        <v>86</v>
      </c>
      <c r="F11" s="35" t="s">
        <v>48</v>
      </c>
      <c r="G11" s="35" t="s">
        <v>87</v>
      </c>
      <c r="H11" s="35" t="s">
        <v>37</v>
      </c>
      <c r="I11" s="35" t="s">
        <v>35</v>
      </c>
      <c r="J11" s="36">
        <v>46191</v>
      </c>
      <c r="K11" s="35" t="s">
        <v>18</v>
      </c>
      <c r="L11" s="35" t="s">
        <v>19</v>
      </c>
      <c r="M11" s="35" t="s">
        <v>88</v>
      </c>
      <c r="N11" s="35" t="s">
        <v>89</v>
      </c>
      <c r="O11" s="35" t="s">
        <v>90</v>
      </c>
    </row>
    <row r="12" spans="1:26" ht="72" customHeight="1" x14ac:dyDescent="0.25">
      <c r="B12" s="35" t="s">
        <v>42</v>
      </c>
      <c r="C12" s="35" t="s">
        <v>91</v>
      </c>
      <c r="D12" s="35" t="s">
        <v>92</v>
      </c>
      <c r="E12" s="35" t="s">
        <v>93</v>
      </c>
      <c r="F12" s="35" t="s">
        <v>48</v>
      </c>
      <c r="G12" s="35" t="s">
        <v>94</v>
      </c>
      <c r="H12" s="35" t="s">
        <v>54</v>
      </c>
      <c r="I12" s="35" t="s">
        <v>35</v>
      </c>
      <c r="J12" s="36">
        <v>46191</v>
      </c>
      <c r="K12" s="35" t="s">
        <v>18</v>
      </c>
      <c r="L12" s="35" t="s">
        <v>19</v>
      </c>
      <c r="M12" s="35" t="s">
        <v>95</v>
      </c>
      <c r="N12" s="35" t="s">
        <v>96</v>
      </c>
      <c r="O12" s="35" t="s">
        <v>97</v>
      </c>
    </row>
    <row r="13" spans="1:26" ht="65.25" customHeight="1" x14ac:dyDescent="0.25">
      <c r="B13" s="35" t="s">
        <v>43</v>
      </c>
      <c r="C13" s="35" t="s">
        <v>98</v>
      </c>
      <c r="D13" s="35" t="s">
        <v>99</v>
      </c>
      <c r="E13" s="35" t="s">
        <v>100</v>
      </c>
      <c r="F13" s="35" t="s">
        <v>48</v>
      </c>
      <c r="G13" s="35" t="s">
        <v>101</v>
      </c>
      <c r="H13" s="35" t="s">
        <v>34</v>
      </c>
      <c r="I13" s="35" t="s">
        <v>35</v>
      </c>
      <c r="J13" s="36">
        <v>46191</v>
      </c>
      <c r="K13" s="35" t="s">
        <v>39</v>
      </c>
      <c r="L13" s="35" t="s">
        <v>19</v>
      </c>
      <c r="M13" s="35" t="s">
        <v>102</v>
      </c>
      <c r="N13" s="35" t="s">
        <v>103</v>
      </c>
      <c r="O13" s="35" t="s">
        <v>104</v>
      </c>
    </row>
    <row r="14" spans="1:26" ht="64.5" customHeight="1" x14ac:dyDescent="0.25">
      <c r="B14" s="35" t="s">
        <v>47</v>
      </c>
      <c r="C14" s="35" t="s">
        <v>105</v>
      </c>
      <c r="D14" s="35" t="s">
        <v>106</v>
      </c>
      <c r="E14" s="35" t="s">
        <v>107</v>
      </c>
      <c r="F14" s="35" t="s">
        <v>48</v>
      </c>
      <c r="G14" s="35" t="s">
        <v>108</v>
      </c>
      <c r="H14" s="35" t="s">
        <v>44</v>
      </c>
      <c r="I14" s="35" t="s">
        <v>35</v>
      </c>
      <c r="J14" s="43">
        <v>46191</v>
      </c>
      <c r="K14" s="35" t="s">
        <v>39</v>
      </c>
      <c r="L14" s="35" t="s">
        <v>19</v>
      </c>
      <c r="M14" s="42" t="s">
        <v>109</v>
      </c>
      <c r="N14" s="35" t="s">
        <v>110</v>
      </c>
      <c r="O14" s="42" t="s">
        <v>111</v>
      </c>
    </row>
    <row r="15" spans="1:26" ht="39.75" customHeight="1" x14ac:dyDescent="0.3">
      <c r="B15" s="38"/>
      <c r="C15" s="38"/>
      <c r="D15" s="38"/>
      <c r="E15" s="38"/>
      <c r="F15" s="38"/>
      <c r="G15" s="38"/>
      <c r="H15" s="37"/>
      <c r="I15" s="39"/>
      <c r="J15" s="39"/>
      <c r="K15" s="40"/>
      <c r="L15" s="41"/>
      <c r="M15" s="38"/>
      <c r="N15" s="38"/>
      <c r="O15" s="38"/>
    </row>
    <row r="16" spans="1:26" ht="39.75" customHeight="1" x14ac:dyDescent="0.3">
      <c r="H16" s="33"/>
      <c r="I16" s="1"/>
      <c r="J16" s="1"/>
      <c r="K16" s="2"/>
      <c r="L16" s="3"/>
    </row>
    <row r="17" spans="8:13" ht="39.75" customHeight="1" x14ac:dyDescent="0.3">
      <c r="H17" s="32"/>
      <c r="I17" s="1"/>
      <c r="J17" s="1"/>
      <c r="K17" s="2"/>
      <c r="L17" s="3"/>
    </row>
    <row r="18" spans="8:13" ht="19.5" customHeight="1" x14ac:dyDescent="0.3">
      <c r="H18" s="32"/>
      <c r="I18" s="1"/>
      <c r="J18" s="1"/>
      <c r="K18" s="27" t="s">
        <v>18</v>
      </c>
      <c r="L18" s="28" t="s">
        <v>19</v>
      </c>
      <c r="M18" s="4"/>
    </row>
    <row r="19" spans="8:13" ht="19.5" customHeight="1" x14ac:dyDescent="0.3">
      <c r="H19" s="32"/>
      <c r="I19" s="1"/>
      <c r="J19" s="1"/>
      <c r="K19" s="27" t="s">
        <v>16</v>
      </c>
      <c r="L19" s="28" t="s">
        <v>20</v>
      </c>
      <c r="M19" s="4"/>
    </row>
    <row r="20" spans="8:13" ht="19.5" customHeight="1" x14ac:dyDescent="0.3">
      <c r="H20" s="32"/>
      <c r="I20" s="1"/>
      <c r="J20" s="1"/>
      <c r="K20" s="27" t="s">
        <v>21</v>
      </c>
      <c r="L20" s="28" t="s">
        <v>17</v>
      </c>
      <c r="M20" s="4"/>
    </row>
    <row r="21" spans="8:13" ht="19.5" customHeight="1" x14ac:dyDescent="0.3">
      <c r="I21" s="1"/>
      <c r="J21" s="1"/>
      <c r="K21" s="27"/>
      <c r="L21" s="28" t="s">
        <v>22</v>
      </c>
      <c r="M21" s="4"/>
    </row>
    <row r="22" spans="8:13" ht="19.5" customHeight="1" x14ac:dyDescent="0.3">
      <c r="I22" s="1"/>
      <c r="J22" s="1"/>
      <c r="K22" s="2"/>
      <c r="L22" s="3"/>
    </row>
    <row r="23" spans="8:13" ht="19.5" customHeight="1" x14ac:dyDescent="0.3">
      <c r="H23" s="32" t="s">
        <v>49</v>
      </c>
      <c r="I23" s="1"/>
      <c r="J23" s="1"/>
      <c r="K23" s="2"/>
      <c r="L23" s="3"/>
    </row>
    <row r="24" spans="8:13" ht="19.5" customHeight="1" x14ac:dyDescent="0.3">
      <c r="I24" s="1"/>
      <c r="J24" s="1"/>
      <c r="K24" s="2"/>
      <c r="L24" s="3"/>
    </row>
    <row r="25" spans="8:13" ht="19.5" customHeight="1" x14ac:dyDescent="0.3">
      <c r="I25" s="1"/>
      <c r="J25" s="1"/>
      <c r="K25" s="2"/>
      <c r="L25" s="3"/>
    </row>
    <row r="26" spans="8:13" ht="19.5" customHeight="1" x14ac:dyDescent="0.3">
      <c r="I26" s="1"/>
      <c r="J26" s="1"/>
      <c r="K26" s="2"/>
      <c r="L26" s="3"/>
    </row>
    <row r="27" spans="8:13" ht="19.5" customHeight="1" x14ac:dyDescent="0.3">
      <c r="I27" s="1"/>
      <c r="J27" s="1"/>
      <c r="K27" s="2"/>
      <c r="L27" s="3"/>
    </row>
    <row r="28" spans="8:13" ht="19.5" customHeight="1" x14ac:dyDescent="0.3">
      <c r="I28" s="1"/>
      <c r="J28" s="1"/>
      <c r="K28" s="2"/>
      <c r="L28" s="3"/>
    </row>
    <row r="29" spans="8:13" ht="19.5" customHeight="1" x14ac:dyDescent="0.3">
      <c r="I29" s="1"/>
      <c r="J29" s="1"/>
      <c r="K29" s="2"/>
      <c r="L29" s="3"/>
    </row>
    <row r="30" spans="8:13" ht="19.5" customHeight="1" x14ac:dyDescent="0.3">
      <c r="I30" s="1"/>
      <c r="J30" s="1"/>
      <c r="K30" s="2"/>
      <c r="L30" s="3"/>
    </row>
    <row r="31" spans="8:13" ht="19.5" customHeight="1" x14ac:dyDescent="0.3">
      <c r="I31" s="1"/>
      <c r="J31" s="1"/>
      <c r="K31" s="2"/>
      <c r="L31" s="3"/>
    </row>
    <row r="32" spans="8:13" ht="19.5" customHeight="1" x14ac:dyDescent="0.3">
      <c r="I32" s="1"/>
      <c r="J32" s="1"/>
      <c r="K32" s="2"/>
      <c r="L32" s="3"/>
    </row>
    <row r="33" spans="9:12" ht="15.7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3">
      <c r="I987" s="1"/>
      <c r="J987" s="1"/>
      <c r="K987" s="2"/>
      <c r="L987" s="3"/>
    </row>
    <row r="988" spans="9:12" ht="15.75" customHeight="1" x14ac:dyDescent="0.25">
      <c r="I988" s="3"/>
      <c r="J988" s="3"/>
      <c r="K988" s="6"/>
      <c r="L988" s="3"/>
    </row>
    <row r="989" spans="9:12" ht="15.75" customHeight="1" x14ac:dyDescent="0.25">
      <c r="I989" s="3"/>
      <c r="J989" s="3"/>
      <c r="K989" s="6"/>
      <c r="L989" s="3"/>
    </row>
    <row r="990" spans="9:12" ht="15.75" customHeight="1" x14ac:dyDescent="0.25"/>
    <row r="991" spans="9:12" ht="15.75" customHeight="1" x14ac:dyDescent="0.25"/>
    <row r="992" spans="9:1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1">
    <mergeCell ref="B3:O3"/>
  </mergeCells>
  <phoneticPr fontId="11" type="noConversion"/>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tabSelected="1" zoomScale="70" zoomScaleNormal="70" workbookViewId="0">
      <selection activeCell="M15" sqref="M15:O17"/>
    </sheetView>
  </sheetViews>
  <sheetFormatPr baseColWidth="10" defaultColWidth="12.59765625" defaultRowHeight="15" customHeight="1" x14ac:dyDescent="0.25"/>
  <cols>
    <col min="1" max="1" width="9.19921875" customWidth="1"/>
    <col min="2" max="2" width="2.59765625" customWidth="1"/>
    <col min="3" max="15" width="10.59765625" customWidth="1"/>
    <col min="16" max="16" width="2.59765625" customWidth="1"/>
    <col min="17" max="26" width="9.19921875" customWidth="1"/>
  </cols>
  <sheetData>
    <row r="2" spans="2:16" ht="15" hidden="1" customHeight="1" x14ac:dyDescent="0.25"/>
    <row r="3" spans="2:16" ht="15" hidden="1" customHeight="1" x14ac:dyDescent="0.25"/>
    <row r="4" spans="2:16" ht="14.4" hidden="1" x14ac:dyDescent="0.3">
      <c r="C4" s="7"/>
      <c r="D4" s="7"/>
      <c r="E4" s="7"/>
      <c r="F4" s="4"/>
    </row>
    <row r="5" spans="2:16" ht="14.4" hidden="1" x14ac:dyDescent="0.3">
      <c r="C5" s="7"/>
      <c r="D5" s="7"/>
      <c r="E5" s="7"/>
      <c r="F5" s="4"/>
    </row>
    <row r="6" spans="2:16" ht="39.75" customHeight="1" x14ac:dyDescent="0.25">
      <c r="B6" s="69" t="s">
        <v>23</v>
      </c>
      <c r="C6" s="70"/>
      <c r="D6" s="70"/>
      <c r="E6" s="70"/>
      <c r="F6" s="70"/>
      <c r="G6" s="70"/>
      <c r="H6" s="70"/>
      <c r="I6" s="70"/>
      <c r="J6" s="70"/>
      <c r="K6" s="70"/>
      <c r="L6" s="70"/>
      <c r="M6" s="70"/>
      <c r="N6" s="70"/>
      <c r="O6" s="70"/>
      <c r="P6" s="65"/>
    </row>
    <row r="7" spans="2:16" ht="9.75" customHeight="1" x14ac:dyDescent="0.25">
      <c r="C7" s="8"/>
      <c r="D7" s="8"/>
      <c r="E7" s="8"/>
      <c r="F7" s="8"/>
      <c r="G7" s="8"/>
      <c r="H7" s="8"/>
      <c r="I7" s="8"/>
      <c r="J7" s="8"/>
      <c r="K7" s="8"/>
      <c r="L7" s="8"/>
      <c r="M7" s="8"/>
      <c r="N7" s="8"/>
      <c r="O7" s="8"/>
    </row>
    <row r="8" spans="2:16" ht="9.75" customHeight="1" x14ac:dyDescent="0.3">
      <c r="B8" s="20"/>
      <c r="C8" s="21"/>
      <c r="D8" s="21"/>
      <c r="E8" s="21"/>
      <c r="F8" s="22"/>
      <c r="G8" s="23"/>
      <c r="H8" s="23"/>
      <c r="I8" s="23"/>
      <c r="J8" s="23"/>
      <c r="K8" s="23"/>
      <c r="L8" s="23"/>
      <c r="M8" s="23"/>
      <c r="N8" s="23"/>
      <c r="O8" s="23"/>
      <c r="P8" s="24"/>
    </row>
    <row r="9" spans="2:16" ht="30" customHeight="1" x14ac:dyDescent="0.25">
      <c r="B9" s="25"/>
      <c r="C9" s="9" t="s">
        <v>1</v>
      </c>
      <c r="D9" s="10"/>
      <c r="E9" s="64" t="s">
        <v>24</v>
      </c>
      <c r="F9" s="65"/>
      <c r="G9" s="10"/>
      <c r="H9" s="64" t="s">
        <v>11</v>
      </c>
      <c r="I9" s="65"/>
      <c r="J9" s="11"/>
      <c r="K9" s="11"/>
      <c r="L9" s="11"/>
      <c r="M9" s="11"/>
      <c r="N9" s="11"/>
      <c r="O9" s="11"/>
      <c r="P9" s="26"/>
    </row>
    <row r="10" spans="2:16" ht="30" customHeight="1" x14ac:dyDescent="0.25">
      <c r="B10" s="25"/>
      <c r="C10" s="12" t="s">
        <v>15</v>
      </c>
      <c r="D10" s="13"/>
      <c r="E10" s="66" t="str">
        <f>VLOOKUP(C10,'Formato descripción HU'!B6:O14,5,0)</f>
        <v>Verónica Córdova</v>
      </c>
      <c r="F10" s="65"/>
      <c r="G10" s="14"/>
      <c r="H10" s="66" t="str">
        <f>VLOOKUP(C10,'Formato descripción HU'!B6:O14,11,0)</f>
        <v>No iniciado</v>
      </c>
      <c r="I10" s="65"/>
      <c r="J10" s="14"/>
      <c r="K10" s="11"/>
      <c r="L10" s="11"/>
      <c r="M10" s="11"/>
      <c r="N10" s="11"/>
      <c r="O10" s="11"/>
      <c r="P10" s="26"/>
    </row>
    <row r="11" spans="2:16" ht="9.75" customHeight="1" x14ac:dyDescent="0.25">
      <c r="B11" s="25"/>
      <c r="C11" s="15"/>
      <c r="D11" s="13"/>
      <c r="E11" s="16"/>
      <c r="F11" s="16"/>
      <c r="G11" s="14"/>
      <c r="H11" s="16"/>
      <c r="I11" s="16"/>
      <c r="J11" s="14"/>
      <c r="K11" s="16"/>
      <c r="L11" s="16"/>
      <c r="M11" s="11"/>
      <c r="N11" s="16"/>
      <c r="O11" s="16"/>
      <c r="P11" s="26"/>
    </row>
    <row r="12" spans="2:16" ht="30" customHeight="1" x14ac:dyDescent="0.25">
      <c r="B12" s="25"/>
      <c r="C12" s="9" t="s">
        <v>25</v>
      </c>
      <c r="D12" s="13"/>
      <c r="E12" s="64" t="s">
        <v>10</v>
      </c>
      <c r="F12" s="65"/>
      <c r="G12" s="14"/>
      <c r="H12" s="64" t="s">
        <v>26</v>
      </c>
      <c r="I12" s="65"/>
      <c r="J12" s="14"/>
      <c r="K12" s="16"/>
      <c r="L12" s="16"/>
      <c r="M12" s="11"/>
      <c r="N12" s="16"/>
      <c r="O12" s="16"/>
      <c r="P12" s="26"/>
    </row>
    <row r="13" spans="2:16" ht="30" customHeight="1" x14ac:dyDescent="0.25">
      <c r="B13" s="25"/>
      <c r="C13" s="12" t="str">
        <f>VLOOKUP('Historia de Usuario'!C10,'Formato descripción HU'!B6:O14,8,0)</f>
        <v>3 horas</v>
      </c>
      <c r="D13" s="13"/>
      <c r="E13" s="66" t="str">
        <f>VLOOKUP(C10,'Formato descripción HU'!B6:O14,10,0)</f>
        <v>Alta</v>
      </c>
      <c r="F13" s="65"/>
      <c r="G13" s="14"/>
      <c r="H13" s="66" t="str">
        <f>VLOOKUP(C10,'Formato descripción HU'!B6:O14,7,0)</f>
        <v>Sofía Figueroa</v>
      </c>
      <c r="I13" s="65"/>
      <c r="J13" s="14"/>
      <c r="K13" s="16"/>
      <c r="L13" s="16"/>
      <c r="M13" s="11"/>
      <c r="N13" s="16"/>
      <c r="O13" s="16"/>
      <c r="P13" s="26"/>
    </row>
    <row r="14" spans="2:16" ht="9.75" customHeight="1" x14ac:dyDescent="0.25">
      <c r="B14" s="25"/>
      <c r="C14" s="11"/>
      <c r="D14" s="13"/>
      <c r="E14" s="11"/>
      <c r="F14" s="11"/>
      <c r="G14" s="14"/>
      <c r="H14" s="14"/>
      <c r="I14" s="11"/>
      <c r="J14" s="11"/>
      <c r="K14" s="11"/>
      <c r="L14" s="11"/>
      <c r="M14" s="11"/>
      <c r="N14" s="11"/>
      <c r="O14" s="11"/>
      <c r="P14" s="26"/>
    </row>
    <row r="15" spans="2:16" ht="19.5" customHeight="1" x14ac:dyDescent="0.25">
      <c r="B15" s="25"/>
      <c r="C15" s="46" t="s">
        <v>27</v>
      </c>
      <c r="D15" s="71" t="str">
        <f>VLOOKUP(C10,'Formato descripción HU'!B6:O14,3,0)</f>
        <v>El programa deberá solicitar cuántos pisos tiene la casa y cuántos espacios principales existen.</v>
      </c>
      <c r="E15" s="51"/>
      <c r="F15" s="11"/>
      <c r="G15" s="46" t="s">
        <v>28</v>
      </c>
      <c r="H15" s="71" t="str">
        <f>VLOOKUP(C10,'Formato descripción HU'!B6:O14,4,0)</f>
        <v>Guardar la información inicial de la vivienda para configurar el sistema de iluminación.</v>
      </c>
      <c r="I15" s="50"/>
      <c r="J15" s="51"/>
      <c r="K15" s="11"/>
      <c r="L15" s="46" t="s">
        <v>29</v>
      </c>
      <c r="M15" s="49" t="str">
        <f>VLOOKUP(C10,'Formato descripción HU'!B6:O14,6,0)</f>
        <v>1. Mostrar el título del sistema. 2. Pedir cuántos pisos tiene la vivienda. 3. Pedir cuántos espacios principales tiene. 4. Guardar los datos en la estructura Vivienda usando punteros. 5. Mostrar los datos registrados.</v>
      </c>
      <c r="N15" s="50"/>
      <c r="O15" s="51"/>
      <c r="P15" s="26"/>
    </row>
    <row r="16" spans="2:16" ht="19.5" customHeight="1" x14ac:dyDescent="0.25">
      <c r="B16" s="25"/>
      <c r="C16" s="47"/>
      <c r="D16" s="52"/>
      <c r="E16" s="54"/>
      <c r="F16" s="11"/>
      <c r="G16" s="47"/>
      <c r="H16" s="52"/>
      <c r="I16" s="53"/>
      <c r="J16" s="54"/>
      <c r="K16" s="11"/>
      <c r="L16" s="47"/>
      <c r="M16" s="52"/>
      <c r="N16" s="53"/>
      <c r="O16" s="54"/>
      <c r="P16" s="26"/>
    </row>
    <row r="17" spans="2:16" ht="19.5" customHeight="1" x14ac:dyDescent="0.25">
      <c r="B17" s="25"/>
      <c r="C17" s="48"/>
      <c r="D17" s="55"/>
      <c r="E17" s="57"/>
      <c r="F17" s="11"/>
      <c r="G17" s="48"/>
      <c r="H17" s="55"/>
      <c r="I17" s="56"/>
      <c r="J17" s="57"/>
      <c r="K17" s="11"/>
      <c r="L17" s="48"/>
      <c r="M17" s="55"/>
      <c r="N17" s="56"/>
      <c r="O17" s="57"/>
      <c r="P17" s="26"/>
    </row>
    <row r="18" spans="2:16" ht="9.75" customHeight="1" x14ac:dyDescent="0.25">
      <c r="B18" s="25"/>
      <c r="C18" s="11"/>
      <c r="D18" s="11"/>
      <c r="E18" s="11"/>
      <c r="F18" s="11"/>
      <c r="G18" s="14"/>
      <c r="H18" s="14"/>
      <c r="I18" s="14"/>
      <c r="J18" s="11"/>
      <c r="K18" s="11"/>
      <c r="L18" s="11"/>
      <c r="M18" s="11"/>
      <c r="N18" s="11"/>
      <c r="O18" s="11"/>
      <c r="P18" s="26"/>
    </row>
    <row r="19" spans="2:16" ht="19.5" customHeight="1" x14ac:dyDescent="0.25">
      <c r="B19" s="25"/>
      <c r="C19" s="67" t="s">
        <v>30</v>
      </c>
      <c r="D19" s="51"/>
      <c r="E19" s="58" t="str">
        <f>VLOOKUP(C10,'Formato descripción HU'!B6:O14,14,0)</f>
        <v>Registro Inicial de Vivienda</v>
      </c>
      <c r="F19" s="59"/>
      <c r="G19" s="59"/>
      <c r="H19" s="59"/>
      <c r="I19" s="59"/>
      <c r="J19" s="59"/>
      <c r="K19" s="59"/>
      <c r="L19" s="59"/>
      <c r="M19" s="59"/>
      <c r="N19" s="59"/>
      <c r="O19" s="60"/>
      <c r="P19" s="26"/>
    </row>
    <row r="20" spans="2:16" ht="19.5" customHeight="1" x14ac:dyDescent="0.25">
      <c r="B20" s="25"/>
      <c r="C20" s="55"/>
      <c r="D20" s="57"/>
      <c r="E20" s="61"/>
      <c r="F20" s="62"/>
      <c r="G20" s="62"/>
      <c r="H20" s="62"/>
      <c r="I20" s="62"/>
      <c r="J20" s="62"/>
      <c r="K20" s="62"/>
      <c r="L20" s="62"/>
      <c r="M20" s="62"/>
      <c r="N20" s="62"/>
      <c r="O20" s="63"/>
      <c r="P20" s="26"/>
    </row>
    <row r="21" spans="2:16" ht="9.75" customHeight="1" x14ac:dyDescent="0.25">
      <c r="B21" s="25"/>
      <c r="C21" s="11"/>
      <c r="D21" s="11"/>
      <c r="E21" s="11"/>
      <c r="F21" s="11"/>
      <c r="G21" s="11"/>
      <c r="H21" s="11"/>
      <c r="I21" s="11"/>
      <c r="J21" s="11"/>
      <c r="K21" s="11"/>
      <c r="L21" s="11"/>
      <c r="M21" s="11"/>
      <c r="N21" s="11"/>
      <c r="O21" s="11"/>
      <c r="P21" s="26"/>
    </row>
    <row r="22" spans="2:16" ht="19.5" customHeight="1" x14ac:dyDescent="0.25">
      <c r="B22" s="25"/>
      <c r="C22" s="68" t="s">
        <v>31</v>
      </c>
      <c r="D22" s="51"/>
      <c r="E22" s="49" t="str">
        <f>VLOOKUP(C10,'Formato descripción HU'!B6:O14,12,0)</f>
        <v>Ejecutar el programa y verificar que permita ingresar pisos y espacios, y que luego muestre esos datos en pantalla.</v>
      </c>
      <c r="F22" s="50"/>
      <c r="G22" s="50"/>
      <c r="H22" s="51"/>
      <c r="I22" s="11"/>
      <c r="J22" s="68" t="s">
        <v>13</v>
      </c>
      <c r="K22" s="51"/>
      <c r="L22" s="49" t="str">
        <f>VLOOKUP(C10,'Formato descripción HU'!B6:O14,13,0)</f>
        <v>Función registrarVivienda() y estructura Vivienda.</v>
      </c>
      <c r="M22" s="50"/>
      <c r="N22" s="50"/>
      <c r="O22" s="51"/>
      <c r="P22" s="26"/>
    </row>
    <row r="23" spans="2:16" ht="19.5" customHeight="1" x14ac:dyDescent="0.25">
      <c r="B23" s="25"/>
      <c r="C23" s="52"/>
      <c r="D23" s="54"/>
      <c r="E23" s="52"/>
      <c r="F23" s="53"/>
      <c r="G23" s="53"/>
      <c r="H23" s="54"/>
      <c r="I23" s="11"/>
      <c r="J23" s="52"/>
      <c r="K23" s="54"/>
      <c r="L23" s="52"/>
      <c r="M23" s="53"/>
      <c r="N23" s="53"/>
      <c r="O23" s="54"/>
      <c r="P23" s="26"/>
    </row>
    <row r="24" spans="2:16" ht="19.5" customHeight="1" x14ac:dyDescent="0.25">
      <c r="B24" s="25"/>
      <c r="C24" s="55"/>
      <c r="D24" s="57"/>
      <c r="E24" s="55"/>
      <c r="F24" s="56"/>
      <c r="G24" s="56"/>
      <c r="H24" s="57"/>
      <c r="I24" s="11"/>
      <c r="J24" s="55"/>
      <c r="K24" s="57"/>
      <c r="L24" s="55"/>
      <c r="M24" s="56"/>
      <c r="N24" s="56"/>
      <c r="O24" s="57"/>
      <c r="P24" s="26"/>
    </row>
    <row r="25" spans="2:16" ht="9.75" customHeight="1" x14ac:dyDescent="0.25">
      <c r="B25" s="17"/>
      <c r="C25" s="18"/>
      <c r="D25" s="18"/>
      <c r="E25" s="18"/>
      <c r="F25" s="18"/>
      <c r="G25" s="18"/>
      <c r="H25" s="18"/>
      <c r="I25" s="18"/>
      <c r="J25" s="18"/>
      <c r="K25" s="18"/>
      <c r="L25" s="18"/>
      <c r="M25" s="18"/>
      <c r="N25" s="18"/>
      <c r="O25" s="18"/>
      <c r="P25" s="19"/>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HU'!$B$6:$B$11</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SOFIA FIGUEROA</cp:lastModifiedBy>
  <cp:revision/>
  <dcterms:created xsi:type="dcterms:W3CDTF">2019-10-21T15:37:14Z</dcterms:created>
  <dcterms:modified xsi:type="dcterms:W3CDTF">2026-07-08T15:44:33Z</dcterms:modified>
  <cp:category/>
  <cp:contentStatus/>
</cp:coreProperties>
</file>