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962E615-E964-48D7-9514-2EAB3B2D77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<sst xmlns="http://schemas.openxmlformats.org/spreadsheetml/2006/main" count="154" uniqueCount="113">
  <si>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</si>
  <si>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</si>
  <si>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</si>
  <si>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</si>
  <si>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</si>
  <si>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</si>
  <si>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</si>
  <si>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</si>
  <si>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</si>
  <si>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</si>
  <si>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</si>
  <si>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</si>
  <si>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</si>
  <si>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</si>
  <si>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</si>
  <si>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</si>
  <si>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</si>
  <si>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</si>
  <si>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</si>
  <si>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</si>
  <si>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</si>
  <si>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</si>
  <si>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</si>
  <si>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</si>
  <si>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</si>
  <si>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</si>
  <si>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</si>
  <si>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</si>
  <si>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</si>
  <si>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</si>
  <si>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</si>
  <si>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</si>
  <si>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Sofía</t>
  </si>
  <si>
    <t>3 horas</t>
  </si>
  <si>
    <t>Sensor de movimiento</t>
  </si>
  <si>
    <t>Detección de Presencia</t>
  </si>
  <si>
    <t>REQ002</t>
  </si>
  <si>
    <t>Alexander</t>
  </si>
  <si>
    <t>4 horas</t>
  </si>
  <si>
    <t>REQ003</t>
  </si>
  <si>
    <t>Santiago</t>
  </si>
  <si>
    <t>REQ004</t>
  </si>
  <si>
    <t>Media</t>
  </si>
  <si>
    <t>Control de Iluminación</t>
  </si>
  <si>
    <t>REQ005</t>
  </si>
  <si>
    <t>REQ006</t>
  </si>
  <si>
    <t>REQ007</t>
  </si>
  <si>
    <t>REQ008</t>
  </si>
  <si>
    <t>Todos</t>
  </si>
  <si>
    <t>El programa deberá iniciar solicitando datos básicos de la vivienda</t>
  </si>
  <si>
    <t>Registro Inicial de Vivienda</t>
  </si>
  <si>
    <t>No se conoce en qué espacios se usan más las luces</t>
  </si>
  <si>
    <t>El programa deberá preguntar los lugares donde existen luces de uso frecuente</t>
  </si>
  <si>
    <t>Identificar los espacios principales donde se puede aplicar el sistema</t>
  </si>
  <si>
    <t>Registro de Espacios con Luz</t>
  </si>
  <si>
    <t>No se sabe dónde se olvidan más las luces encendidas</t>
  </si>
  <si>
    <t>El programa deberá preguntar en qué lugar ocurre más el problema</t>
  </si>
  <si>
    <t>Determinar la zona principal donde se necesita el sistema automático</t>
  </si>
  <si>
    <t>Identificación de Zona del Problema</t>
  </si>
  <si>
    <t>No se conoce el horario de mayor uso de iluminación</t>
  </si>
  <si>
    <t>El programa deberá solicitar el horario en el que más se usan las luces</t>
  </si>
  <si>
    <t>Conocer cuándo el sistema sería más útil para el usuario</t>
  </si>
  <si>
    <t>1. Preguntar si el uso de luces es en la mañana, tarde o noche. 2. Permitir que el usuario ingrese el horario aproximado. 3. Guardar la información para analizar el funcionamiento del sistema.</t>
  </si>
  <si>
    <t>Registro de Horario de Uso</t>
  </si>
  <si>
    <t>No se ha definido el tiempo de apagado automático</t>
  </si>
  <si>
    <t>El programa deberá pedir el tiempo de espera antes de apagar la luz</t>
  </si>
  <si>
    <t>1. Solicitar al usuario cuántos segundos desea esperar antes del apagado. 2. Validar que el tiempo ingresado sea mayor a cero. 3. Guardar el tiempo para usarlo en la simulación.</t>
  </si>
  <si>
    <t>Tiempo de Apagado Automático</t>
  </si>
  <si>
    <t>No se sabe dónde colocar el sensor de movimiento</t>
  </si>
  <si>
    <t>El programa deberá ayudar a seleccionar una posible ubicación del sensor</t>
  </si>
  <si>
    <t>1. Mostrar opciones de ubicación como pared alta, techo o cerca de la entrada. 2. Preguntar si existen obstáculos como muebles, puertas o cortinas. 3. Recomendar una ubicación visible y sin obstáculos.</t>
  </si>
  <si>
    <t>Selección de Ubicación del Sensor</t>
  </si>
  <si>
    <t>El sistema necesita simular la detección de presencia</t>
  </si>
  <si>
    <t>El programa deberá permitir ingresar si hay o no movimiento</t>
  </si>
  <si>
    <t>1. Preguntar al usuario si se detecta movimiento. 2. Si la respuesta es sí, encender la luz. 3. Si la respuesta es no, mantener o apagar la luz según el tiempo configurado.</t>
  </si>
  <si>
    <t>El usuario necesita controlar el estado de la luz</t>
  </si>
  <si>
    <t>El programa deberá mostrar opciones para encender, apagar o consultar la luz</t>
  </si>
  <si>
    <t>Permitir la interacción directa con el sistema de iluminación</t>
  </si>
  <si>
    <t>1. Mostrar un menú con opciones del sistema. 2. Permitir encender la luz. 3. Permitir apagar la luz. 4. Permitir consultar si la luz está encendida o apagada.</t>
  </si>
  <si>
    <t>REQ009</t>
  </si>
  <si>
    <t>Se necesita revisar que el programa funcione correctamente</t>
  </si>
  <si>
    <t>El programa deberá mostrar un resumen de los datos ingresados y del estado del sistema</t>
  </si>
  <si>
    <t>Validar que la información guardada y la simulación sean correctas</t>
  </si>
  <si>
    <t>1. Mostrar los datos de la vivienda. 2. Mostrar la zona del problema. 3. Mostrar el tiempo de apagado. 4. Mostrar el estado final de la luz.</t>
  </si>
  <si>
    <t>Falta de información inicial de la vivienda</t>
  </si>
  <si>
    <t>Registrar información inicial para configurar el sistema</t>
  </si>
  <si>
    <t>Verónica Córdova</t>
  </si>
  <si>
    <t>1. Mostrar un mensaje inicial del sistema. 2. Preguntar cuántos pisos tiene la casa. 3. Preguntar cuántos espacios principales tiene. 4. Guardar los datos ingresados por el usuario.</t>
  </si>
  <si>
    <t>Verificar que el programa permita ingresar y guardar los datos básicos de la vivienda.</t>
  </si>
  <si>
    <t>Registro inicial del usuario</t>
  </si>
  <si>
    <t>1. Mostrar opciones como pasillo, baño, sala, habitación y patio. 2. Permitir que el usuario seleccione los lugares donde usa más las luces. 3. Guardar la opción seleccionada.</t>
  </si>
  <si>
    <t>Comprobar que el programa permita seleccionar y guardar los espacios con mayor uso de luz.</t>
  </si>
  <si>
    <t>Espacios con iluminación</t>
  </si>
  <si>
    <t>1. Mostrar una lista de lugares del hogar. 2. Preguntar dónde suele olvidar las luces encendidas. 3. Guardar la zona seleccionada como lugar principal del problema.</t>
  </si>
  <si>
    <t>Verificar que el programa identifique la zona donde más se olvidan las luces encendidas.</t>
  </si>
  <si>
    <t>Ubicación del problema</t>
  </si>
  <si>
    <t>Verificar que el programa registre el horario de mayor uso de iluminación.</t>
  </si>
  <si>
    <t>Rutina del usuario</t>
  </si>
  <si>
    <t>Configurar el tiempo para que la luz no se apague inmediatamente</t>
  </si>
  <si>
    <t>Comprobar que el programa acepte solo tiempos válidos mayores a cero.</t>
  </si>
  <si>
    <t>Tiempo de espera</t>
  </si>
  <si>
    <t>Definir un lugar adecuado para detectar presencia correctamente</t>
  </si>
  <si>
    <t>Verificar que el programa sugiera una ubicación adecuada según las respuestas del usuario.</t>
  </si>
  <si>
    <t>Ubicación del sensor</t>
  </si>
  <si>
    <t>Activar la lógica de encendido de la luz según la presencia</t>
  </si>
  <si>
    <t>Comprobar que la luz se encienda cuando el programa registre presencia.</t>
  </si>
  <si>
    <t>Verificar que el menú permita controlar y consultar el estado de la luz.</t>
  </si>
  <si>
    <t>Control del sistema</t>
  </si>
  <si>
    <t>Prueba del programa</t>
  </si>
  <si>
    <t xml:space="preserve">4 horas </t>
  </si>
  <si>
    <t>.Comprobar que el programa muestre correctamente el resumen final del sistema.</t>
  </si>
  <si>
    <t>&lt;</t>
  </si>
  <si>
    <t>Validacion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</si>
</sst>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rgb="FF9C65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0" fillId="3" borderId="5" xfId="0" applyFill="1" applyBorder="1"/>
    <xf numFmtId="0" fontId="9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4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4" fillId="0" borderId="0" xfId="0" applyFont="1"/>
    <xf numFmtId="0" fontId="2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7" fillId="6" borderId="6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3" xfId="0" applyFont="1" applyBorder="1"/>
    <xf numFmtId="0" fontId="10" fillId="7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20" xfId="0" applyFont="1" applyBorder="1"/>
    <xf numFmtId="0" fontId="6" fillId="0" borderId="22" xfId="0" applyFont="1" applyBorder="1"/>
    <xf numFmtId="0" fontId="7" fillId="4" borderId="7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12" xfId="0" applyFont="1" applyBorder="1"/>
    <xf numFmtId="0" fontId="1" fillId="5" borderId="7" xfId="0" applyFont="1" applyFill="1" applyBorder="1" applyAlignment="1">
      <alignment horizontal="center" vertical="center"/>
    </xf>
    <xf numFmtId="0" fontId="6" fillId="0" borderId="9" xfId="0" applyFont="1" applyBorder="1"/>
    <xf numFmtId="0" fontId="0" fillId="0" borderId="0" xfId="0"/>
    <xf numFmtId="0" fontId="6" fillId="0" borderId="2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7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0" fillId="0" borderId="23" xfId="0" applyBorder="1" applyAlignment="1">
      <alignment vertical="center" wrapText="1"/>
    </xf>
    <xf numFmtId="14" fontId="0" fillId="0" borderId="23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wrapText="1"/>
    </xf>
    <xf numFmtId="14" fontId="0" fillId="0" borderId="23" xfId="0" applyNumberFormat="1" applyBorder="1" applyAlignment="1">
      <alignment horizont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E11" zoomScale="70" zoomScaleNormal="70" workbookViewId="0">
      <selection activeCell="N16" sqref="N16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24.62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34" t="s">
        <v>1</v>
      </c>
      <c r="C5" s="30" t="s">
        <v>2</v>
      </c>
      <c r="D5" s="31" t="s">
        <v>3</v>
      </c>
      <c r="E5" s="30" t="s">
        <v>4</v>
      </c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11</v>
      </c>
      <c r="M5" s="30" t="s">
        <v>12</v>
      </c>
      <c r="N5" s="30" t="s">
        <v>13</v>
      </c>
      <c r="O5" s="30" t="s">
        <v>14</v>
      </c>
    </row>
    <row r="6" spans="1:26" ht="103.5" customHeight="1" x14ac:dyDescent="0.2">
      <c r="B6" s="63" t="s">
        <v>15</v>
      </c>
      <c r="C6" s="63" t="s">
        <v>84</v>
      </c>
      <c r="D6" s="63" t="s">
        <v>49</v>
      </c>
      <c r="E6" s="63" t="s">
        <v>85</v>
      </c>
      <c r="F6" s="63" t="s">
        <v>86</v>
      </c>
      <c r="G6" s="63" t="s">
        <v>87</v>
      </c>
      <c r="H6" s="63" t="s">
        <v>32</v>
      </c>
      <c r="I6" s="63" t="s">
        <v>33</v>
      </c>
      <c r="J6" s="64">
        <v>46191</v>
      </c>
      <c r="K6" s="63" t="s">
        <v>18</v>
      </c>
      <c r="L6" s="63" t="s">
        <v>19</v>
      </c>
      <c r="M6" s="63" t="s">
        <v>88</v>
      </c>
      <c r="N6" s="63" t="s">
        <v>89</v>
      </c>
      <c r="O6" s="63" t="s">
        <v>50</v>
      </c>
    </row>
    <row r="7" spans="1:26" ht="99.75" customHeight="1" x14ac:dyDescent="0.2">
      <c r="A7" s="5"/>
      <c r="B7" s="63" t="s">
        <v>36</v>
      </c>
      <c r="C7" s="63" t="s">
        <v>51</v>
      </c>
      <c r="D7" s="63" t="s">
        <v>52</v>
      </c>
      <c r="E7" s="63" t="s">
        <v>53</v>
      </c>
      <c r="F7" s="63" t="s">
        <v>86</v>
      </c>
      <c r="G7" s="63" t="s">
        <v>90</v>
      </c>
      <c r="H7" s="63" t="s">
        <v>37</v>
      </c>
      <c r="I7" s="63" t="s">
        <v>33</v>
      </c>
      <c r="J7" s="64">
        <v>46191</v>
      </c>
      <c r="K7" s="63" t="s">
        <v>18</v>
      </c>
      <c r="L7" s="63" t="s">
        <v>19</v>
      </c>
      <c r="M7" s="63" t="s">
        <v>91</v>
      </c>
      <c r="N7" s="63" t="s">
        <v>92</v>
      </c>
      <c r="O7" s="63" t="s">
        <v>54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8" customHeight="1" x14ac:dyDescent="0.2">
      <c r="B8" s="63" t="s">
        <v>39</v>
      </c>
      <c r="C8" s="63" t="s">
        <v>55</v>
      </c>
      <c r="D8" s="63" t="s">
        <v>56</v>
      </c>
      <c r="E8" s="63" t="s">
        <v>57</v>
      </c>
      <c r="F8" s="63" t="s">
        <v>86</v>
      </c>
      <c r="G8" s="63" t="s">
        <v>93</v>
      </c>
      <c r="H8" s="63" t="s">
        <v>40</v>
      </c>
      <c r="I8" s="63" t="s">
        <v>33</v>
      </c>
      <c r="J8" s="64">
        <v>46191</v>
      </c>
      <c r="K8" s="63" t="s">
        <v>18</v>
      </c>
      <c r="L8" s="63" t="s">
        <v>19</v>
      </c>
      <c r="M8" s="63" t="s">
        <v>94</v>
      </c>
      <c r="N8" s="63" t="s">
        <v>95</v>
      </c>
      <c r="O8" s="63" t="s">
        <v>58</v>
      </c>
    </row>
    <row r="9" spans="1:26" ht="78" customHeight="1" x14ac:dyDescent="0.2">
      <c r="B9" s="63" t="s">
        <v>41</v>
      </c>
      <c r="C9" s="63" t="s">
        <v>59</v>
      </c>
      <c r="D9" s="63" t="s">
        <v>60</v>
      </c>
      <c r="E9" s="63" t="s">
        <v>61</v>
      </c>
      <c r="F9" s="63" t="s">
        <v>86</v>
      </c>
      <c r="G9" s="63" t="s">
        <v>62</v>
      </c>
      <c r="H9" s="63" t="s">
        <v>32</v>
      </c>
      <c r="I9" s="63" t="s">
        <v>33</v>
      </c>
      <c r="J9" s="64">
        <v>46191</v>
      </c>
      <c r="K9" s="63" t="s">
        <v>42</v>
      </c>
      <c r="L9" s="63" t="s">
        <v>19</v>
      </c>
      <c r="M9" s="63" t="s">
        <v>96</v>
      </c>
      <c r="N9" s="63" t="s">
        <v>97</v>
      </c>
      <c r="O9" s="63" t="s">
        <v>63</v>
      </c>
    </row>
    <row r="10" spans="1:26" ht="66" customHeight="1" x14ac:dyDescent="0.2">
      <c r="B10" s="63" t="s">
        <v>44</v>
      </c>
      <c r="C10" s="63" t="s">
        <v>64</v>
      </c>
      <c r="D10" s="63" t="s">
        <v>65</v>
      </c>
      <c r="E10" s="63" t="s">
        <v>98</v>
      </c>
      <c r="F10" s="63" t="s">
        <v>86</v>
      </c>
      <c r="G10" s="63" t="s">
        <v>66</v>
      </c>
      <c r="H10" s="63" t="s">
        <v>37</v>
      </c>
      <c r="I10" s="63" t="s">
        <v>38</v>
      </c>
      <c r="J10" s="64">
        <v>46191</v>
      </c>
      <c r="K10" s="63" t="s">
        <v>18</v>
      </c>
      <c r="L10" s="63" t="s">
        <v>19</v>
      </c>
      <c r="M10" s="63" t="s">
        <v>99</v>
      </c>
      <c r="N10" s="63" t="s">
        <v>100</v>
      </c>
      <c r="O10" s="63" t="s">
        <v>67</v>
      </c>
      <c r="P10" s="29"/>
    </row>
    <row r="11" spans="1:26" ht="99.75" customHeight="1" x14ac:dyDescent="0.2">
      <c r="B11" s="63" t="s">
        <v>45</v>
      </c>
      <c r="C11" s="63" t="s">
        <v>68</v>
      </c>
      <c r="D11" s="63" t="s">
        <v>69</v>
      </c>
      <c r="E11" s="63" t="s">
        <v>101</v>
      </c>
      <c r="F11" s="63" t="s">
        <v>86</v>
      </c>
      <c r="G11" s="63" t="s">
        <v>70</v>
      </c>
      <c r="H11" s="63" t="s">
        <v>40</v>
      </c>
      <c r="I11" s="63" t="s">
        <v>38</v>
      </c>
      <c r="J11" s="64">
        <v>46191</v>
      </c>
      <c r="K11" s="63" t="s">
        <v>18</v>
      </c>
      <c r="L11" s="63" t="s">
        <v>19</v>
      </c>
      <c r="M11" s="63" t="s">
        <v>102</v>
      </c>
      <c r="N11" s="63" t="s">
        <v>103</v>
      </c>
      <c r="O11" s="63" t="s">
        <v>71</v>
      </c>
    </row>
    <row r="12" spans="1:26" ht="72" customHeight="1" x14ac:dyDescent="0.2">
      <c r="B12" s="63" t="s">
        <v>46</v>
      </c>
      <c r="C12" s="63" t="s">
        <v>72</v>
      </c>
      <c r="D12" s="63" t="s">
        <v>73</v>
      </c>
      <c r="E12" s="63" t="s">
        <v>104</v>
      </c>
      <c r="F12" s="63" t="s">
        <v>86</v>
      </c>
      <c r="G12" s="63" t="s">
        <v>74</v>
      </c>
      <c r="H12" s="63" t="s">
        <v>32</v>
      </c>
      <c r="I12" s="63" t="s">
        <v>38</v>
      </c>
      <c r="J12" s="64">
        <v>46191</v>
      </c>
      <c r="K12" s="63" t="s">
        <v>18</v>
      </c>
      <c r="L12" s="63" t="s">
        <v>19</v>
      </c>
      <c r="M12" s="63" t="s">
        <v>105</v>
      </c>
      <c r="N12" s="63" t="s">
        <v>34</v>
      </c>
      <c r="O12" s="63" t="s">
        <v>35</v>
      </c>
    </row>
    <row r="13" spans="1:26" ht="65.25" customHeight="1" x14ac:dyDescent="0.2">
      <c r="B13" s="63" t="s">
        <v>47</v>
      </c>
      <c r="C13" s="63" t="s">
        <v>75</v>
      </c>
      <c r="D13" s="63" t="s">
        <v>76</v>
      </c>
      <c r="E13" s="63" t="s">
        <v>77</v>
      </c>
      <c r="F13" s="63" t="s">
        <v>86</v>
      </c>
      <c r="G13" s="63" t="s">
        <v>78</v>
      </c>
      <c r="H13" s="63" t="s">
        <v>37</v>
      </c>
      <c r="I13" s="63" t="s">
        <v>38</v>
      </c>
      <c r="J13" s="64">
        <v>46191</v>
      </c>
      <c r="K13" s="63" t="s">
        <v>18</v>
      </c>
      <c r="L13" s="63" t="s">
        <v>19</v>
      </c>
      <c r="M13" s="63" t="s">
        <v>106</v>
      </c>
      <c r="N13" s="63" t="s">
        <v>107</v>
      </c>
      <c r="O13" s="63" t="s">
        <v>43</v>
      </c>
    </row>
    <row r="14" spans="1:26" ht="64.5" customHeight="1" x14ac:dyDescent="0.2">
      <c r="B14" s="63" t="s">
        <v>79</v>
      </c>
      <c r="C14" s="63" t="s">
        <v>80</v>
      </c>
      <c r="D14" s="63" t="s">
        <v>81</v>
      </c>
      <c r="E14" s="63" t="s">
        <v>82</v>
      </c>
      <c r="F14" s="63" t="s">
        <v>86</v>
      </c>
      <c r="G14" s="63" t="s">
        <v>83</v>
      </c>
      <c r="H14" s="63" t="s">
        <v>48</v>
      </c>
      <c r="I14" s="63" t="s">
        <v>109</v>
      </c>
      <c r="J14" s="71">
        <v>46191</v>
      </c>
      <c r="K14" s="63" t="s">
        <v>42</v>
      </c>
      <c r="L14" s="63" t="s">
        <v>19</v>
      </c>
      <c r="M14" s="70" t="s">
        <v>110</v>
      </c>
      <c r="N14" s="63" t="s">
        <v>108</v>
      </c>
      <c r="O14" s="70" t="s">
        <v>112</v>
      </c>
    </row>
    <row r="15" spans="1:26" ht="39.75" customHeight="1" x14ac:dyDescent="0.25">
      <c r="B15" s="66"/>
      <c r="C15" s="66"/>
      <c r="D15" s="66"/>
      <c r="E15" s="66"/>
      <c r="F15" s="66"/>
      <c r="G15" s="66"/>
      <c r="H15" s="65"/>
      <c r="I15" s="67"/>
      <c r="J15" s="67"/>
      <c r="K15" s="68"/>
      <c r="L15" s="69"/>
      <c r="M15" s="66"/>
      <c r="N15" s="66"/>
      <c r="O15" s="66"/>
    </row>
    <row r="16" spans="1:26" ht="39.75" customHeight="1" x14ac:dyDescent="0.25">
      <c r="H16" s="33"/>
      <c r="I16" s="1"/>
      <c r="J16" s="1"/>
      <c r="K16" s="2"/>
      <c r="L16" s="3"/>
    </row>
    <row r="17" spans="8:13" ht="39.75" customHeight="1" x14ac:dyDescent="0.25">
      <c r="H17" s="32"/>
      <c r="I17" s="1"/>
      <c r="J17" s="1"/>
      <c r="K17" s="2"/>
      <c r="L17" s="3"/>
    </row>
    <row r="18" spans="8:13" ht="19.5" customHeight="1" x14ac:dyDescent="0.25">
      <c r="H18" s="32"/>
      <c r="I18" s="1"/>
      <c r="J18" s="1"/>
      <c r="K18" s="27" t="s">
        <v>18</v>
      </c>
      <c r="L18" s="28" t="s">
        <v>19</v>
      </c>
      <c r="M18" s="4"/>
    </row>
    <row r="19" spans="8:13" ht="19.5" customHeight="1" x14ac:dyDescent="0.25">
      <c r="H19" s="32"/>
      <c r="I19" s="1"/>
      <c r="J19" s="1"/>
      <c r="K19" s="27" t="s">
        <v>16</v>
      </c>
      <c r="L19" s="28" t="s">
        <v>20</v>
      </c>
      <c r="M19" s="4"/>
    </row>
    <row r="20" spans="8:13" ht="19.5" customHeight="1" x14ac:dyDescent="0.25">
      <c r="H20" s="32"/>
      <c r="I20" s="1"/>
      <c r="J20" s="1"/>
      <c r="K20" s="27" t="s">
        <v>21</v>
      </c>
      <c r="L20" s="28" t="s">
        <v>17</v>
      </c>
      <c r="M20" s="4"/>
    </row>
    <row r="21" spans="8:13" ht="19.5" customHeight="1" x14ac:dyDescent="0.25">
      <c r="I21" s="1"/>
      <c r="J21" s="1"/>
      <c r="K21" s="27"/>
      <c r="L21" s="28" t="s">
        <v>22</v>
      </c>
      <c r="M21" s="4"/>
    </row>
    <row r="22" spans="8:13" ht="19.5" customHeight="1" x14ac:dyDescent="0.25">
      <c r="I22" s="1"/>
      <c r="J22" s="1"/>
      <c r="K22" s="2"/>
      <c r="L22" s="3"/>
    </row>
    <row r="23" spans="8:13" ht="19.5" customHeight="1" x14ac:dyDescent="0.25">
      <c r="H23" s="32" t="s">
        <v>111</v>
      </c>
      <c r="I23" s="1"/>
      <c r="J23" s="1"/>
      <c r="K23" s="2"/>
      <c r="L23" s="3"/>
    </row>
    <row r="24" spans="8:13" ht="19.5" customHeight="1" x14ac:dyDescent="0.25">
      <c r="I24" s="1"/>
      <c r="J24" s="1"/>
      <c r="K24" s="2"/>
      <c r="L24" s="3"/>
    </row>
    <row r="25" spans="8:13" ht="19.5" customHeight="1" x14ac:dyDescent="0.25">
      <c r="I25" s="1"/>
      <c r="J25" s="1"/>
      <c r="K25" s="2"/>
      <c r="L25" s="3"/>
    </row>
    <row r="26" spans="8:13" ht="19.5" customHeight="1" x14ac:dyDescent="0.25">
      <c r="I26" s="1"/>
      <c r="J26" s="1"/>
      <c r="K26" s="2"/>
      <c r="L26" s="3"/>
    </row>
    <row r="27" spans="8:13" ht="19.5" customHeight="1" x14ac:dyDescent="0.25">
      <c r="I27" s="1"/>
      <c r="J27" s="1"/>
      <c r="K27" s="2"/>
      <c r="L27" s="3"/>
    </row>
    <row r="28" spans="8:13" ht="19.5" customHeight="1" x14ac:dyDescent="0.25">
      <c r="I28" s="1"/>
      <c r="J28" s="1"/>
      <c r="K28" s="2"/>
      <c r="L28" s="3"/>
    </row>
    <row r="29" spans="8:13" ht="19.5" customHeight="1" x14ac:dyDescent="0.25">
      <c r="I29" s="1"/>
      <c r="J29" s="1"/>
      <c r="K29" s="2"/>
      <c r="L29" s="3"/>
    </row>
    <row r="30" spans="8:13" ht="19.5" customHeight="1" x14ac:dyDescent="0.25">
      <c r="I30" s="1"/>
      <c r="J30" s="1"/>
      <c r="K30" s="2"/>
      <c r="L30" s="3"/>
    </row>
    <row r="31" spans="8:13" ht="19.5" customHeight="1" x14ac:dyDescent="0.25">
      <c r="I31" s="1"/>
      <c r="J31" s="1"/>
      <c r="K31" s="2"/>
      <c r="L31" s="3"/>
    </row>
    <row r="32" spans="8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6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1" type="noConversion"/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D10" sqref="D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7"/>
      <c r="D4" s="7"/>
      <c r="E4" s="7"/>
      <c r="F4" s="4"/>
    </row>
    <row r="5" spans="2:16" hidden="1" x14ac:dyDescent="0.25">
      <c r="C5" s="7"/>
      <c r="D5" s="7"/>
      <c r="E5" s="7"/>
      <c r="F5" s="4"/>
    </row>
    <row r="6" spans="2:16" ht="39.75" customHeight="1" x14ac:dyDescent="0.2">
      <c r="B6" s="51" t="s">
        <v>23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</row>
    <row r="7" spans="2:16" ht="9.75" customHeight="1" x14ac:dyDescent="0.2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6" ht="9.75" customHeight="1" x14ac:dyDescent="0.25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 x14ac:dyDescent="0.2">
      <c r="B9" s="25"/>
      <c r="C9" s="9" t="s">
        <v>1</v>
      </c>
      <c r="D9" s="10"/>
      <c r="E9" s="54" t="s">
        <v>24</v>
      </c>
      <c r="F9" s="53"/>
      <c r="G9" s="10"/>
      <c r="H9" s="54" t="s">
        <v>11</v>
      </c>
      <c r="I9" s="53"/>
      <c r="J9" s="11"/>
      <c r="K9" s="11"/>
      <c r="L9" s="11"/>
      <c r="M9" s="11"/>
      <c r="N9" s="11"/>
      <c r="O9" s="11"/>
      <c r="P9" s="26"/>
    </row>
    <row r="10" spans="2:16" ht="30" customHeight="1" x14ac:dyDescent="0.2">
      <c r="B10" s="25"/>
      <c r="C10" s="12" t="s">
        <v>39</v>
      </c>
      <c r="D10" s="13"/>
      <c r="E10" s="55" t="str">
        <f>VLOOKUP(C10,'Formato descripción HU'!B6:O14,5,0)</f>
        <v>Verónica Córdova</v>
      </c>
      <c r="F10" s="53"/>
      <c r="G10" s="14"/>
      <c r="H10" s="55" t="str">
        <f>VLOOKUP(C10,'Formato descripción HU'!B6:O14,11,0)</f>
        <v>No iniciado</v>
      </c>
      <c r="I10" s="53"/>
      <c r="J10" s="14"/>
      <c r="K10" s="11"/>
      <c r="L10" s="11"/>
      <c r="M10" s="11"/>
      <c r="N10" s="11"/>
      <c r="O10" s="11"/>
      <c r="P10" s="26"/>
    </row>
    <row r="11" spans="2:16" ht="9.75" customHeight="1" x14ac:dyDescent="0.2">
      <c r="B11" s="25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6"/>
    </row>
    <row r="12" spans="2:16" ht="30" customHeight="1" x14ac:dyDescent="0.2">
      <c r="B12" s="25"/>
      <c r="C12" s="9" t="s">
        <v>25</v>
      </c>
      <c r="D12" s="13"/>
      <c r="E12" s="54" t="s">
        <v>10</v>
      </c>
      <c r="F12" s="53"/>
      <c r="G12" s="14"/>
      <c r="H12" s="54" t="s">
        <v>26</v>
      </c>
      <c r="I12" s="53"/>
      <c r="J12" s="14"/>
      <c r="K12" s="16"/>
      <c r="L12" s="16"/>
      <c r="M12" s="11"/>
      <c r="N12" s="16"/>
      <c r="O12" s="16"/>
      <c r="P12" s="26"/>
    </row>
    <row r="13" spans="2:16" ht="30" customHeight="1" x14ac:dyDescent="0.2">
      <c r="B13" s="25"/>
      <c r="C13" s="12" t="str">
        <f>VLOOKUP('Historia de Usuario'!C10,'Formato descripción HU'!B6:O14,8,0)</f>
        <v>3 horas</v>
      </c>
      <c r="D13" s="13"/>
      <c r="E13" s="55" t="str">
        <f>VLOOKUP(C10,'Formato descripción HU'!B6:O14,10,0)</f>
        <v>Alta</v>
      </c>
      <c r="F13" s="53"/>
      <c r="G13" s="14"/>
      <c r="H13" s="55" t="str">
        <f>VLOOKUP(C10,'Formato descripción HU'!B6:O14,7,0)</f>
        <v>Santiago</v>
      </c>
      <c r="I13" s="53"/>
      <c r="J13" s="14"/>
      <c r="K13" s="16"/>
      <c r="L13" s="16"/>
      <c r="M13" s="11"/>
      <c r="N13" s="16"/>
      <c r="O13" s="16"/>
      <c r="P13" s="26"/>
    </row>
    <row r="14" spans="2:16" ht="9.75" customHeight="1" x14ac:dyDescent="0.2">
      <c r="B14" s="25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6"/>
    </row>
    <row r="15" spans="2:16" ht="19.5" customHeight="1" x14ac:dyDescent="0.2">
      <c r="B15" s="25"/>
      <c r="C15" s="37" t="s">
        <v>27</v>
      </c>
      <c r="D15" s="56" t="str">
        <f>VLOOKUP(C10,'Formato descripción HU'!B6:O14,3,0)</f>
        <v>El programa deberá preguntar en qué lugar ocurre más el problema</v>
      </c>
      <c r="E15" s="41"/>
      <c r="F15" s="11"/>
      <c r="G15" s="37" t="s">
        <v>28</v>
      </c>
      <c r="H15" s="56" t="str">
        <f>VLOOKUP(C10,'Formato descripción HU'!B6:O14,4,0)</f>
        <v>Determinar la zona principal donde se necesita el sistema automático</v>
      </c>
      <c r="I15" s="48"/>
      <c r="J15" s="41"/>
      <c r="K15" s="11"/>
      <c r="L15" s="37" t="s">
        <v>29</v>
      </c>
      <c r="M15" s="47" t="str">
        <f>VLOOKUP(C10,'Formato descripción HU'!B6:O14,6,0)</f>
        <v>1. Mostrar una lista de lugares del hogar. 2. Preguntar dónde suele olvidar las luces encendidas. 3. Guardar la zona seleccionada como lugar principal del problema.</v>
      </c>
      <c r="N15" s="48"/>
      <c r="O15" s="41"/>
      <c r="P15" s="26"/>
    </row>
    <row r="16" spans="2:16" ht="19.5" customHeight="1" x14ac:dyDescent="0.2">
      <c r="B16" s="25"/>
      <c r="C16" s="38"/>
      <c r="D16" s="45"/>
      <c r="E16" s="46"/>
      <c r="F16" s="11"/>
      <c r="G16" s="38"/>
      <c r="H16" s="45"/>
      <c r="I16" s="49"/>
      <c r="J16" s="46"/>
      <c r="K16" s="11"/>
      <c r="L16" s="38"/>
      <c r="M16" s="45"/>
      <c r="N16" s="49"/>
      <c r="O16" s="46"/>
      <c r="P16" s="26"/>
    </row>
    <row r="17" spans="2:16" ht="19.5" customHeight="1" x14ac:dyDescent="0.2">
      <c r="B17" s="25"/>
      <c r="C17" s="39"/>
      <c r="D17" s="42"/>
      <c r="E17" s="43"/>
      <c r="F17" s="11"/>
      <c r="G17" s="39"/>
      <c r="H17" s="42"/>
      <c r="I17" s="50"/>
      <c r="J17" s="43"/>
      <c r="K17" s="11"/>
      <c r="L17" s="39"/>
      <c r="M17" s="42"/>
      <c r="N17" s="50"/>
      <c r="O17" s="43"/>
      <c r="P17" s="26"/>
    </row>
    <row r="18" spans="2:16" ht="9.75" customHeight="1" x14ac:dyDescent="0.2">
      <c r="B18" s="25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6"/>
    </row>
    <row r="19" spans="2:16" ht="19.5" customHeight="1" x14ac:dyDescent="0.2">
      <c r="B19" s="25"/>
      <c r="C19" s="40" t="s">
        <v>30</v>
      </c>
      <c r="D19" s="41"/>
      <c r="E19" s="57" t="str">
        <f>VLOOKUP(C10,'Formato descripción HU'!B6:O14,14,0)</f>
        <v>Identificación de Zona del Problema</v>
      </c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26"/>
    </row>
    <row r="20" spans="2:16" ht="19.5" customHeight="1" x14ac:dyDescent="0.2">
      <c r="B20" s="25"/>
      <c r="C20" s="42"/>
      <c r="D20" s="43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26"/>
    </row>
    <row r="21" spans="2:16" ht="9.75" customHeight="1" x14ac:dyDescent="0.2">
      <c r="B21" s="25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6"/>
    </row>
    <row r="22" spans="2:16" ht="19.5" customHeight="1" x14ac:dyDescent="0.2">
      <c r="B22" s="25"/>
      <c r="C22" s="44" t="s">
        <v>31</v>
      </c>
      <c r="D22" s="41"/>
      <c r="E22" s="47" t="str">
        <f>VLOOKUP(C10,'Formato descripción HU'!B6:O14,12,0)</f>
        <v>Verificar que el programa identifique la zona donde más se olvidan las luces encendidas.</v>
      </c>
      <c r="F22" s="48"/>
      <c r="G22" s="48"/>
      <c r="H22" s="41"/>
      <c r="I22" s="11"/>
      <c r="J22" s="44" t="s">
        <v>13</v>
      </c>
      <c r="K22" s="41"/>
      <c r="L22" s="47" t="str">
        <f>VLOOKUP(C10,'Formato descripción HU'!B6:O14,13,0)</f>
        <v>Ubicación del problema</v>
      </c>
      <c r="M22" s="48"/>
      <c r="N22" s="48"/>
      <c r="O22" s="41"/>
      <c r="P22" s="26"/>
    </row>
    <row r="23" spans="2:16" ht="19.5" customHeight="1" x14ac:dyDescent="0.2">
      <c r="B23" s="25"/>
      <c r="C23" s="45"/>
      <c r="D23" s="46"/>
      <c r="E23" s="45"/>
      <c r="F23" s="49"/>
      <c r="G23" s="49"/>
      <c r="H23" s="46"/>
      <c r="I23" s="11"/>
      <c r="J23" s="45"/>
      <c r="K23" s="46"/>
      <c r="L23" s="45"/>
      <c r="M23" s="49"/>
      <c r="N23" s="49"/>
      <c r="O23" s="46"/>
      <c r="P23" s="26"/>
    </row>
    <row r="24" spans="2:16" ht="19.5" customHeight="1" x14ac:dyDescent="0.2">
      <c r="B24" s="25"/>
      <c r="C24" s="42"/>
      <c r="D24" s="43"/>
      <c r="E24" s="42"/>
      <c r="F24" s="50"/>
      <c r="G24" s="50"/>
      <c r="H24" s="43"/>
      <c r="I24" s="11"/>
      <c r="J24" s="42"/>
      <c r="K24" s="43"/>
      <c r="L24" s="42"/>
      <c r="M24" s="50"/>
      <c r="N24" s="50"/>
      <c r="O24" s="43"/>
      <c r="P24" s="26"/>
    </row>
    <row r="25" spans="2:16" ht="9.75" customHeight="1" x14ac:dyDescent="0.2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Wendy Tigse</cp:lastModifiedBy>
  <cp:revision/>
  <dcterms:created xsi:type="dcterms:W3CDTF">2019-10-21T15:37:14Z</dcterms:created>
  <dcterms:modified xsi:type="dcterms:W3CDTF">2026-07-03T03:11:20Z</dcterms:modified>
  <cp:category/>
  <cp:contentStatus/>
</cp:coreProperties>
</file>