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19334B45-5C18-4E4D-8D60-563BF166E704}"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<sst xmlns="http://schemas.openxmlformats.org/spreadsheetml/2006/main" count="133" uniqueCount="98">
  <si>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</si>
  <si>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</si>
  <si>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</si>
  <si>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</si>
  <si>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</si>
  <si>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</si>
  <si>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</si>
  <si>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</si>
  <si>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</si>
  <si>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</si>
  <si>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</si>
  <si>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</si>
  <si>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</si>
  <si>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</si>
  <si>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</si>
  <si>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 xml:space="preserve">Media </t>
  </si>
  <si>
    <t>Terminado</t>
  </si>
  <si>
    <t>Alta</t>
  </si>
  <si>
    <t>No iniciado</t>
  </si>
  <si>
    <t>En proceso</t>
  </si>
  <si>
    <t>Baja</t>
  </si>
  <si>
    <t>Atrasado</t>
  </si>
  <si>
    <t>HISTORIA DE USUARIO (HU)</t>
  </si>
  <si>
    <t>USUARIO</t>
  </si>
  <si>
    <t>TIEMPO</t>
  </si>
  <si>
    <t>PROG. RESP</t>
  </si>
  <si>
    <t>QUE</t>
  </si>
  <si>
    <t>PARA QUE</t>
  </si>
  <si>
    <t>COMO</t>
  </si>
  <si>
    <t>NOMBRE HISTORIA</t>
  </si>
  <si>
    <t>PRUEBA</t>
  </si>
  <si>
    <t>3 horas</t>
  </si>
  <si>
    <t>REQ002</t>
  </si>
  <si>
    <t>Alexander</t>
  </si>
  <si>
    <t>4 horas</t>
  </si>
  <si>
    <t>REQ003</t>
  </si>
  <si>
    <t>Santiago</t>
  </si>
  <si>
    <t>REQ004</t>
  </si>
  <si>
    <t>Media</t>
  </si>
  <si>
    <t>REQ005</t>
  </si>
  <si>
    <t>REQ006</t>
  </si>
  <si>
    <t>REQ007</t>
  </si>
  <si>
    <t>REQ008</t>
  </si>
  <si>
    <t>Verónica Córdova</t>
  </si>
  <si>
    <t>&lt;</t>
  </si>
  <si>
    <t>Sofía Figueroa</t>
  </si>
  <si>
    <t>El programa deberá permitir que el usuario escriba el espacio donde más utiliza la iluminación.</t>
  </si>
  <si>
    <t>Identificar el espacio principal de mayor uso de luz dentro de la vivienda.</t>
  </si>
  <si>
    <t xml:space="preserve">REQ001 </t>
  </si>
  <si>
    <t>REQ001</t>
  </si>
  <si>
    <t xml:space="preserve">Consumo excesivo de la luz electrica en el hogar </t>
  </si>
  <si>
    <t xml:space="preserve">El programa deberá mostrar un menú en consola con las opciones del sistema </t>
  </si>
  <si>
    <t>Para que el sistema este organizado y el usuario seleccione qué acción realizar.</t>
  </si>
  <si>
    <t>1.Mostrar en pantalla el menú principal con las opciones:1) Registro de vivienda 2) Registrar Espacio 3) Registrar Zona Problema4) Tiempo de Apagado 5) Guardar datos.6) Actualizar datos.7) Salir 2. Hacer que el sistema abra la opción que elija el usuario.</t>
  </si>
  <si>
    <t>Sofía</t>
  </si>
  <si>
    <t>Ejecutar el programa y verificar que aparezca el menú principal y que cada opción dirija a la función correcta.</t>
  </si>
  <si>
    <t>Menú Principal</t>
  </si>
  <si>
    <t>No se sabe con exactitud los datos básicos de la vivienda.</t>
  </si>
  <si>
    <t>El programa deberá solicitar cuántos pisos y cuántos espacios principales tiene la vivienda.</t>
  </si>
  <si>
    <t>Guardar la información inicial del usuario y de esta manera configurar el sistema de iluminación.</t>
  </si>
  <si>
    <t>1)Seleccionar la opción de registro de vivienda. 2)Pedir cuantos pisos tiene la casa. 3)pedir cuantos espacios principales tiene la vivienda4) El usuario ingrese otro4) Mostrar los datos registrados en pantalla</t>
  </si>
  <si>
    <t>Ingresar datos de vivienda y verificar que el sistema muestre correctamente los pisos y espacios registrados,</t>
  </si>
  <si>
    <t>Registro Vivienda</t>
  </si>
  <si>
    <t>El espacio donde más se usan las luces.</t>
  </si>
  <si>
    <t>1). Activar la opción de menú de registro 2). Pedir al usuario el espacio donde más se usan las luces.3). Guardar el dato 4). Mostrar el espacio registrado</t>
  </si>
  <si>
    <t>Ingresar un espacio libre, por ejemplo cocina, y verificar que el sistema lo guarde y lo muestre en pantalla.</t>
  </si>
  <si>
    <t>Registro de Espacio</t>
  </si>
  <si>
    <t>Falta identificar los lugares donde se olvidan las luces encendidas.</t>
  </si>
  <si>
    <t>El programa deberá registrar uno o varios lugaresy  preguntar si desea agregar otro.</t>
  </si>
  <si>
    <t>Determinar las zonas de mayor olvido de luces.</t>
  </si>
  <si>
    <t>1)Activar opción de menú de registro. 2.) Pedir el lugar donde se olvidan más las luces. 3.) Guardar 4) Mostrar todas las zonas registradas.</t>
  </si>
  <si>
    <t>Registrar dos zonas, por ejemplo baño y cocina, seleccionar 0 para continuar y verificar que ambas aparezcan en la lista.</t>
  </si>
  <si>
    <t>Registro de Zonas</t>
  </si>
  <si>
    <t>Configurar el tiempo de espera antes del apagado automático.</t>
  </si>
  <si>
    <t>El programa deberá pedir el tiempo de espera en segundos o minutos.</t>
  </si>
  <si>
    <t>Guardar el tiempo que esperará el sistema antes de apagar la luz.</t>
  </si>
  <si>
    <t>Mostrar menú de Configuración 1)Pedir segundos o minutos 2) Leer dato numérico 3)Convertir minutos a segundos 4)Mostrar el tiempo.</t>
  </si>
  <si>
    <t>Probar con 30 segundos y 2 minutos; verificar que se guarde en segundos.</t>
  </si>
  <si>
    <t>Configuración tiempo de apagado</t>
  </si>
  <si>
    <t>Guardar datos del usuario en la computadora</t>
  </si>
  <si>
    <t>El programa deberá crear una carpeta y un archivo de txt.los datos ingresados.</t>
  </si>
  <si>
    <t>Conservar información delregistro  usuario en un documento</t>
  </si>
  <si>
    <t>1. Aplicando una función en el programa que permita crear y guardar los datos del usuario en un archivo 2.Carga de datos y su visibilidad.</t>
  </si>
  <si>
    <t>Ejecutar el sistema y verificar que se cree la carpeta DatosUsuario y el archivo.</t>
  </si>
  <si>
    <t>Almacenamiento de Datos</t>
  </si>
  <si>
    <t xml:space="preserve">Corregir datos ingresados o borrar información anterior </t>
  </si>
  <si>
    <t>El programa deberá mostar un menú de actualización para modificar o borrar datos</t>
  </si>
  <si>
    <t xml:space="preserve">Permtir cambios sin borrar información completa </t>
  </si>
  <si>
    <t>1.Mostrar menú con opciones: 6.) Actualizar datos5.) Guardar Datos 0) Salir</t>
  </si>
  <si>
    <t>Actualizar un dato, por ejemplo el horario, y verificar que cambie en pantalla y en el archivo de texto.</t>
  </si>
  <si>
    <t xml:space="preserve">Actualización de datos </t>
  </si>
  <si>
    <t>El usuario necesita terminar el programa de forma controlada.</t>
  </si>
  <si>
    <t>El programa deberá permitir finalizar sin cerrar la ventana de manera forzada.</t>
  </si>
  <si>
    <t>Cerrar la ejecución de forma ordenada después de registrar o modificar datos.</t>
  </si>
  <si>
    <t>1. Mostrar el menú final de cambios. 2. Permitir elegir 0 Finalizar. 3. Si el usuario elige 0, mostrar el mensaje de registro finalizado.</t>
  </si>
  <si>
    <t>2 horas</t>
  </si>
  <si>
    <t>Seleccionar la opción 0 y verificar que el sistema muestre el mensaje final y cierre correctamente.</t>
  </si>
  <si>
    <t>Salida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</si>
</sst>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ont>
    <font>
      <sz val="11"/>
      <color theme="1"/>
      <name val="Calibri"/>
    </font>
    <font>
      <b/>
      <i/>
      <sz val="11"/>
      <color rgb="FF9C6500"/>
      <name val="Calibri"/>
    </font>
    <font>
      <b/>
      <i/>
      <sz val="11"/>
      <color rgb="FFFF0000"/>
      <name val="Calibri"/>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b/>
      <i/>
      <u/>
      <sz val="16"/>
      <color theme="1"/>
      <name val="Calibri"/>
      <family val="2"/>
    </font>
    <font>
      <u/>
      <sz val="11"/>
      <color theme="1"/>
      <name val="Arial"/>
      <family val="2"/>
    </font>
    <font>
      <sz val="11"/>
      <color theme="1"/>
      <name val="Arial"/>
      <family val="2"/>
    </font>
    <font>
      <b/>
      <i/>
      <sz val="11"/>
      <color rgb="FF9C6500"/>
      <name val="Calibri"/>
      <family val="2"/>
    </font>
    <font>
      <sz val="11"/>
      <color theme="1"/>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4" borderId="4" xfId="0" applyFont="1" applyFill="1" applyBorder="1" applyAlignment="1">
      <alignment horizontal="center" vertical="center"/>
    </xf>
    <xf numFmtId="0" fontId="8" fillId="3" borderId="5" xfId="0" applyFont="1" applyFill="1" applyBorder="1" applyAlignment="1">
      <alignment vertical="center"/>
    </xf>
    <xf numFmtId="0" fontId="0" fillId="3" borderId="5" xfId="0" applyFill="1" applyBorder="1"/>
    <xf numFmtId="0" fontId="9" fillId="5" borderId="4" xfId="0" applyFont="1" applyFill="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9"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0" fillId="3" borderId="20" xfId="0" applyFill="1" applyBorder="1"/>
    <xf numFmtId="0" fontId="0" fillId="3" borderId="21" xfId="0" applyFill="1" applyBorder="1"/>
    <xf numFmtId="0" fontId="0" fillId="3" borderId="22" xfId="0" applyFill="1" applyBorder="1"/>
    <xf numFmtId="0" fontId="0" fillId="3" borderId="7" xfId="0" applyFill="1" applyBorder="1"/>
    <xf numFmtId="0" fontId="4" fillId="3" borderId="9" xfId="0" applyFont="1" applyFill="1" applyBorder="1" applyAlignment="1">
      <alignment horizontal="left" vertical="center" wrapText="1"/>
    </xf>
    <xf numFmtId="0" fontId="1" fillId="3" borderId="9" xfId="0" applyFont="1" applyFill="1" applyBorder="1"/>
    <xf numFmtId="0" fontId="0" fillId="3" borderId="9" xfId="0" applyFill="1" applyBorder="1"/>
    <xf numFmtId="0" fontId="0" fillId="3" borderId="8" xfId="0" applyFill="1" applyBorder="1"/>
    <xf numFmtId="0" fontId="0" fillId="3" borderId="11" xfId="0" applyFill="1" applyBorder="1"/>
    <xf numFmtId="0" fontId="0" fillId="3" borderId="12" xfId="0" applyFill="1" applyBorder="1"/>
    <xf numFmtId="0" fontId="1" fillId="0" borderId="23" xfId="0" applyFont="1" applyBorder="1" applyAlignment="1">
      <alignment horizontal="center"/>
    </xf>
    <xf numFmtId="0" fontId="1" fillId="0" borderId="23" xfId="0" applyFont="1" applyBorder="1" applyAlignment="1">
      <alignment horizontal="center" vertical="center"/>
    </xf>
    <xf numFmtId="0" fontId="14" fillId="0" borderId="0" xfId="0" applyFont="1"/>
    <xf numFmtId="0" fontId="2" fillId="2"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5" fillId="2" borderId="23" xfId="0" applyFont="1" applyFill="1" applyBorder="1" applyAlignment="1">
      <alignment horizontal="center" vertical="center" wrapText="1"/>
    </xf>
    <xf numFmtId="0" fontId="0" fillId="0" borderId="23" xfId="0" applyBorder="1" applyAlignment="1">
      <alignment vertical="center" wrapText="1"/>
    </xf>
    <xf numFmtId="0" fontId="0" fillId="0" borderId="5" xfId="0" applyBorder="1" applyAlignment="1">
      <alignmen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0" fillId="0" borderId="5" xfId="0" applyBorder="1" applyAlignment="1">
      <alignment horizontal="center" vertical="center"/>
    </xf>
    <xf numFmtId="0" fontId="12" fillId="0" borderId="0" xfId="0" applyFont="1" applyAlignment="1">
      <alignment horizontal="center" vertical="center"/>
    </xf>
    <xf numFmtId="0" fontId="13" fillId="0" borderId="0" xfId="0" applyFont="1"/>
    <xf numFmtId="0" fontId="7" fillId="6" borderId="6" xfId="0" applyFont="1" applyFill="1" applyBorder="1" applyAlignment="1">
      <alignment horizontal="center" vertical="center"/>
    </xf>
    <xf numFmtId="0" fontId="6" fillId="0" borderId="10" xfId="0" applyFont="1" applyBorder="1"/>
    <xf numFmtId="0" fontId="6" fillId="0" borderId="13" xfId="0" applyFont="1" applyBorder="1"/>
    <xf numFmtId="0" fontId="1" fillId="5" borderId="7" xfId="0" applyFont="1" applyFill="1" applyBorder="1" applyAlignment="1">
      <alignment horizontal="center" vertical="center" wrapText="1"/>
    </xf>
    <xf numFmtId="0" fontId="6" fillId="0" borderId="9" xfId="0" applyFont="1" applyBorder="1" applyAlignment="1">
      <alignment wrapText="1"/>
    </xf>
    <xf numFmtId="0" fontId="6" fillId="0" borderId="8" xfId="0" applyFont="1" applyBorder="1" applyAlignment="1">
      <alignment wrapText="1"/>
    </xf>
    <xf numFmtId="0" fontId="6" fillId="0" borderId="11" xfId="0" applyFont="1" applyBorder="1" applyAlignment="1">
      <alignment wrapText="1"/>
    </xf>
    <xf numFmtId="0" fontId="0" fillId="0" borderId="0" xfId="0" applyAlignment="1">
      <alignment wrapText="1"/>
    </xf>
    <xf numFmtId="0" fontId="6" fillId="0" borderId="12" xfId="0" applyFont="1" applyBorder="1" applyAlignment="1">
      <alignment wrapText="1"/>
    </xf>
    <xf numFmtId="0" fontId="6" fillId="0" borderId="20" xfId="0" applyFont="1" applyBorder="1" applyAlignment="1">
      <alignment wrapText="1"/>
    </xf>
    <xf numFmtId="0" fontId="6" fillId="0" borderId="21" xfId="0" applyFont="1" applyBorder="1" applyAlignment="1">
      <alignment wrapText="1"/>
    </xf>
    <xf numFmtId="0" fontId="6" fillId="0" borderId="22" xfId="0" applyFont="1" applyBorder="1" applyAlignment="1">
      <alignment wrapText="1"/>
    </xf>
    <xf numFmtId="0" fontId="9" fillId="2" borderId="14" xfId="0" applyFont="1" applyFill="1" applyBorder="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7" fillId="4" borderId="1" xfId="0" applyFont="1" applyFill="1" applyBorder="1" applyAlignment="1">
      <alignment horizontal="center" vertical="center"/>
    </xf>
    <xf numFmtId="0" fontId="6" fillId="0" borderId="3" xfId="0" applyFont="1" applyBorder="1"/>
    <xf numFmtId="0" fontId="1" fillId="5" borderId="1" xfId="0" applyFont="1" applyFill="1" applyBorder="1" applyAlignment="1">
      <alignment horizontal="center" vertical="center"/>
    </xf>
    <xf numFmtId="0" fontId="10" fillId="7" borderId="7" xfId="0" applyFont="1" applyFill="1" applyBorder="1" applyAlignment="1">
      <alignment horizontal="center" vertical="center"/>
    </xf>
    <xf numFmtId="0" fontId="6" fillId="0" borderId="8" xfId="0" applyFont="1" applyBorder="1"/>
    <xf numFmtId="0" fontId="6" fillId="0" borderId="20" xfId="0" applyFont="1" applyBorder="1"/>
    <xf numFmtId="0" fontId="6" fillId="0" borderId="22" xfId="0" applyFont="1" applyBorder="1"/>
    <xf numFmtId="0" fontId="7" fillId="4" borderId="7" xfId="0" applyFont="1" applyFill="1" applyBorder="1" applyAlignment="1">
      <alignment horizontal="center" vertical="center"/>
    </xf>
    <xf numFmtId="0" fontId="6" fillId="0" borderId="11" xfId="0" applyFont="1" applyBorder="1"/>
    <xf numFmtId="0" fontId="6" fillId="0" borderId="12" xfId="0" applyFont="1" applyBorder="1"/>
    <xf numFmtId="0" fontId="1" fillId="5" borderId="7" xfId="0" applyFont="1" applyFill="1" applyBorder="1" applyAlignment="1">
      <alignment horizontal="center" vertical="center"/>
    </xf>
    <xf numFmtId="0" fontId="6" fillId="0" borderId="9" xfId="0" applyFont="1" applyBorder="1"/>
    <xf numFmtId="0" fontId="0" fillId="0" borderId="0" xfId="0"/>
    <xf numFmtId="0" fontId="6" fillId="0" borderId="21" xfId="0" applyFont="1" applyBorder="1"/>
    <xf numFmtId="0" fontId="5" fillId="3" borderId="1" xfId="0" applyFont="1" applyFill="1" applyBorder="1" applyAlignment="1">
      <alignment horizontal="center" vertical="center" wrapText="1"/>
    </xf>
    <xf numFmtId="0" fontId="6" fillId="0" borderId="2" xfId="0" applyFont="1" applyBorder="1"/>
    <xf numFmtId="0" fontId="14" fillId="0" borderId="23" xfId="0" applyFont="1" applyBorder="1" applyAlignment="1">
      <alignment horizontal="left" vertical="center" wrapText="1"/>
    </xf>
    <xf numFmtId="0" fontId="0" fillId="0" borderId="23" xfId="0" applyBorder="1" applyAlignment="1">
      <alignment horizontal="left" vertical="center" wrapText="1"/>
    </xf>
    <xf numFmtId="14" fontId="0" fillId="0" borderId="23" xfId="0" applyNumberFormat="1" applyBorder="1" applyAlignment="1">
      <alignment horizontal="left" vertical="center" wrapText="1"/>
    </xf>
    <xf numFmtId="0" fontId="16" fillId="0" borderId="23" xfId="0" applyFont="1" applyBorder="1" applyAlignment="1">
      <alignment horizontal="center" vertical="center" wrapText="1"/>
    </xf>
    <xf numFmtId="0" fontId="0" fillId="0" borderId="23" xfId="0" applyBorder="1" applyAlignment="1">
      <alignment horizontal="center" vertical="center" wrapText="1"/>
    </xf>
    <xf numFmtId="49" fontId="1" fillId="5" borderId="7" xfId="0" applyNumberFormat="1" applyFont="1" applyFill="1" applyBorder="1" applyAlignment="1">
      <alignment horizontal="center" vertical="center" wrapText="1"/>
    </xf>
    <xf numFmtId="49" fontId="1" fillId="5" borderId="9" xfId="0" applyNumberFormat="1"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49" fontId="1" fillId="5" borderId="11" xfId="0" applyNumberFormat="1" applyFont="1" applyFill="1" applyBorder="1" applyAlignment="1">
      <alignment horizontal="center" vertical="center" wrapText="1"/>
    </xf>
    <xf numFmtId="49" fontId="1" fillId="5" borderId="5" xfId="0" applyNumberFormat="1" applyFont="1" applyFill="1" applyBorder="1" applyAlignment="1">
      <alignment horizontal="center" vertical="center" wrapText="1"/>
    </xf>
    <xf numFmtId="49" fontId="1" fillId="5" borderId="12" xfId="0" applyNumberFormat="1" applyFont="1" applyFill="1" applyBorder="1" applyAlignment="1">
      <alignment horizontal="center" vertical="center" wrapText="1"/>
    </xf>
    <xf numFmtId="49" fontId="1" fillId="5" borderId="20" xfId="0" applyNumberFormat="1" applyFont="1" applyFill="1" applyBorder="1" applyAlignment="1">
      <alignment horizontal="center" vertical="center" wrapText="1"/>
    </xf>
    <xf numFmtId="49" fontId="1" fillId="5" borderId="21" xfId="0" applyNumberFormat="1" applyFont="1" applyFill="1" applyBorder="1" applyAlignment="1">
      <alignment horizontal="center" vertical="center" wrapText="1"/>
    </xf>
    <xf numFmtId="49" fontId="1" fillId="5" borderId="22" xfId="0" applyNumberFormat="1"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7"/>
  <sheetViews>
    <sheetView showGridLines="0" zoomScale="70" zoomScaleNormal="70" workbookViewId="0">
      <selection activeCell="E9" sqref="E9"/>
    </sheetView>
  </sheetViews>
  <sheetFormatPr baseColWidth="10" defaultColWidth="12.59765625" defaultRowHeight="15" customHeight="1" x14ac:dyDescent="0.25"/>
  <cols>
    <col min="1" max="1" width="4.59765625" customWidth="1"/>
    <col min="2" max="2" width="16.796875" bestFit="1" customWidth="1"/>
    <col min="3" max="5" width="20.59765625" customWidth="1"/>
    <col min="6" max="6" width="10.59765625" customWidth="1"/>
    <col min="7" max="7" width="32.5" customWidth="1"/>
    <col min="8" max="12" width="10.59765625" customWidth="1"/>
    <col min="13" max="13" width="24.597656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41" t="s">
        <v>0</v>
      </c>
      <c r="C3" s="42"/>
      <c r="D3" s="42"/>
      <c r="E3" s="42"/>
      <c r="F3" s="42"/>
      <c r="G3" s="42"/>
      <c r="H3" s="42"/>
      <c r="I3" s="42"/>
      <c r="J3" s="42"/>
      <c r="K3" s="42"/>
      <c r="L3" s="42"/>
      <c r="M3" s="42"/>
      <c r="N3" s="42"/>
      <c r="O3" s="42"/>
    </row>
    <row r="4" spans="1:26" ht="5.25" customHeight="1" x14ac:dyDescent="0.3">
      <c r="H4" s="4"/>
      <c r="I4" s="1"/>
      <c r="J4" s="1"/>
      <c r="K4" s="2"/>
      <c r="L4" s="3"/>
    </row>
    <row r="5" spans="1:26" ht="57.6" x14ac:dyDescent="0.25">
      <c r="B5" s="34" t="s">
        <v>1</v>
      </c>
      <c r="C5" s="30" t="s">
        <v>2</v>
      </c>
      <c r="D5" s="31" t="s">
        <v>3</v>
      </c>
      <c r="E5" s="30" t="s">
        <v>4</v>
      </c>
      <c r="F5" s="30" t="s">
        <v>5</v>
      </c>
      <c r="G5" s="30" t="s">
        <v>6</v>
      </c>
      <c r="H5" s="30" t="s">
        <v>7</v>
      </c>
      <c r="I5" s="30" t="s">
        <v>8</v>
      </c>
      <c r="J5" s="30" t="s">
        <v>9</v>
      </c>
      <c r="K5" s="30" t="s">
        <v>10</v>
      </c>
      <c r="L5" s="30" t="s">
        <v>11</v>
      </c>
      <c r="M5" s="30" t="s">
        <v>12</v>
      </c>
      <c r="N5" s="30" t="s">
        <v>13</v>
      </c>
      <c r="O5" s="30" t="s">
        <v>14</v>
      </c>
    </row>
    <row r="6" spans="1:26" ht="110.4" x14ac:dyDescent="0.25">
      <c r="B6" s="77" t="s">
        <v>49</v>
      </c>
      <c r="C6" s="78" t="s">
        <v>50</v>
      </c>
      <c r="D6" s="78" t="s">
        <v>51</v>
      </c>
      <c r="E6" s="78" t="s">
        <v>52</v>
      </c>
      <c r="F6" s="78" t="s">
        <v>43</v>
      </c>
      <c r="G6" s="77" t="s">
        <v>53</v>
      </c>
      <c r="H6" s="77" t="s">
        <v>54</v>
      </c>
      <c r="I6" s="78" t="s">
        <v>31</v>
      </c>
      <c r="J6" s="79">
        <v>46223</v>
      </c>
      <c r="K6" s="78" t="s">
        <v>17</v>
      </c>
      <c r="L6" s="77" t="s">
        <v>16</v>
      </c>
      <c r="M6" s="78" t="s">
        <v>55</v>
      </c>
      <c r="N6" s="78">
        <v>0</v>
      </c>
      <c r="O6" s="78" t="s">
        <v>56</v>
      </c>
    </row>
    <row r="7" spans="1:26" ht="82.8" x14ac:dyDescent="0.25">
      <c r="A7" s="5"/>
      <c r="B7" s="78" t="s">
        <v>32</v>
      </c>
      <c r="C7" s="78" t="s">
        <v>57</v>
      </c>
      <c r="D7" s="78" t="s">
        <v>58</v>
      </c>
      <c r="E7" s="78" t="s">
        <v>59</v>
      </c>
      <c r="F7" s="78" t="s">
        <v>43</v>
      </c>
      <c r="G7" s="77" t="s">
        <v>60</v>
      </c>
      <c r="H7" s="78" t="s">
        <v>36</v>
      </c>
      <c r="I7" s="78" t="s">
        <v>31</v>
      </c>
      <c r="J7" s="79">
        <v>46223</v>
      </c>
      <c r="K7" s="78" t="s">
        <v>17</v>
      </c>
      <c r="L7" s="77" t="s">
        <v>16</v>
      </c>
      <c r="M7" s="77" t="s">
        <v>61</v>
      </c>
      <c r="N7" s="78"/>
      <c r="O7" s="78" t="s">
        <v>62</v>
      </c>
      <c r="P7" s="5"/>
      <c r="Q7" s="5"/>
      <c r="R7" s="5"/>
      <c r="S7" s="5"/>
      <c r="T7" s="5"/>
      <c r="U7" s="5"/>
      <c r="V7" s="5"/>
      <c r="W7" s="5"/>
      <c r="X7" s="5"/>
      <c r="Y7" s="5"/>
      <c r="Z7" s="5"/>
    </row>
    <row r="8" spans="1:26" ht="78" customHeight="1" x14ac:dyDescent="0.25">
      <c r="B8" s="78" t="s">
        <v>35</v>
      </c>
      <c r="C8" s="78" t="s">
        <v>63</v>
      </c>
      <c r="D8" s="78" t="s">
        <v>46</v>
      </c>
      <c r="E8" s="78" t="s">
        <v>47</v>
      </c>
      <c r="F8" s="78" t="s">
        <v>43</v>
      </c>
      <c r="G8" s="77" t="s">
        <v>64</v>
      </c>
      <c r="H8" s="78" t="s">
        <v>33</v>
      </c>
      <c r="I8" s="78" t="s">
        <v>31</v>
      </c>
      <c r="J8" s="79">
        <v>46223</v>
      </c>
      <c r="K8" s="78" t="s">
        <v>17</v>
      </c>
      <c r="L8" s="78" t="s">
        <v>16</v>
      </c>
      <c r="M8" s="78" t="s">
        <v>65</v>
      </c>
      <c r="N8" s="78"/>
      <c r="O8" s="78" t="s">
        <v>66</v>
      </c>
    </row>
    <row r="9" spans="1:26" ht="78" customHeight="1" x14ac:dyDescent="0.25">
      <c r="B9" s="78" t="s">
        <v>37</v>
      </c>
      <c r="C9" s="78" t="s">
        <v>67</v>
      </c>
      <c r="D9" s="78" t="s">
        <v>68</v>
      </c>
      <c r="E9" s="78" t="s">
        <v>69</v>
      </c>
      <c r="F9" s="78" t="s">
        <v>43</v>
      </c>
      <c r="G9" s="77" t="s">
        <v>70</v>
      </c>
      <c r="H9" s="78" t="s">
        <v>54</v>
      </c>
      <c r="I9" s="78" t="s">
        <v>31</v>
      </c>
      <c r="J9" s="79">
        <v>46226</v>
      </c>
      <c r="K9" s="78" t="s">
        <v>17</v>
      </c>
      <c r="L9" s="78" t="s">
        <v>16</v>
      </c>
      <c r="M9" s="78" t="s">
        <v>71</v>
      </c>
      <c r="N9" s="78"/>
      <c r="O9" s="78" t="s">
        <v>72</v>
      </c>
    </row>
    <row r="10" spans="1:26" ht="66" customHeight="1" x14ac:dyDescent="0.25">
      <c r="B10" s="78" t="s">
        <v>39</v>
      </c>
      <c r="C10" s="78" t="s">
        <v>73</v>
      </c>
      <c r="D10" s="78" t="s">
        <v>74</v>
      </c>
      <c r="E10" s="78" t="s">
        <v>75</v>
      </c>
      <c r="F10" s="78" t="s">
        <v>43</v>
      </c>
      <c r="G10" s="77" t="s">
        <v>76</v>
      </c>
      <c r="H10" s="77" t="s">
        <v>54</v>
      </c>
      <c r="I10" s="78" t="s">
        <v>31</v>
      </c>
      <c r="J10" s="79">
        <v>46227</v>
      </c>
      <c r="K10" s="78" t="s">
        <v>38</v>
      </c>
      <c r="L10" s="78" t="s">
        <v>16</v>
      </c>
      <c r="M10" s="77" t="s">
        <v>77</v>
      </c>
      <c r="N10" s="78"/>
      <c r="O10" s="78" t="s">
        <v>78</v>
      </c>
      <c r="P10" s="29"/>
    </row>
    <row r="11" spans="1:26" ht="99.75" customHeight="1" x14ac:dyDescent="0.25">
      <c r="B11" s="78" t="s">
        <v>40</v>
      </c>
      <c r="C11" s="78" t="s">
        <v>79</v>
      </c>
      <c r="D11" s="78" t="s">
        <v>80</v>
      </c>
      <c r="E11" s="78" t="s">
        <v>81</v>
      </c>
      <c r="F11" s="78" t="s">
        <v>43</v>
      </c>
      <c r="G11" s="77" t="s">
        <v>82</v>
      </c>
      <c r="H11" s="78" t="s">
        <v>33</v>
      </c>
      <c r="I11" s="78" t="s">
        <v>34</v>
      </c>
      <c r="J11" s="79">
        <v>46228</v>
      </c>
      <c r="K11" s="78" t="s">
        <v>17</v>
      </c>
      <c r="L11" s="78" t="s">
        <v>16</v>
      </c>
      <c r="M11" s="78" t="s">
        <v>83</v>
      </c>
      <c r="N11" s="78"/>
      <c r="O11" s="78" t="s">
        <v>84</v>
      </c>
    </row>
    <row r="12" spans="1:26" ht="72" customHeight="1" x14ac:dyDescent="0.25">
      <c r="B12" s="77" t="s">
        <v>41</v>
      </c>
      <c r="C12" s="78" t="s">
        <v>85</v>
      </c>
      <c r="D12" s="78" t="s">
        <v>86</v>
      </c>
      <c r="E12" s="78" t="s">
        <v>87</v>
      </c>
      <c r="F12" s="78" t="s">
        <v>43</v>
      </c>
      <c r="G12" s="77" t="s">
        <v>88</v>
      </c>
      <c r="H12" s="78" t="s">
        <v>45</v>
      </c>
      <c r="I12" s="78" t="s">
        <v>34</v>
      </c>
      <c r="J12" s="79">
        <v>46229</v>
      </c>
      <c r="K12" s="78" t="s">
        <v>17</v>
      </c>
      <c r="L12" s="78" t="s">
        <v>16</v>
      </c>
      <c r="M12" s="78" t="s">
        <v>89</v>
      </c>
      <c r="N12" s="78"/>
      <c r="O12" s="78" t="s">
        <v>90</v>
      </c>
    </row>
    <row r="13" spans="1:26" ht="65.25" customHeight="1" x14ac:dyDescent="0.25">
      <c r="B13" s="78" t="s">
        <v>42</v>
      </c>
      <c r="C13" s="35" t="s">
        <v>91</v>
      </c>
      <c r="D13" s="35" t="s">
        <v>92</v>
      </c>
      <c r="E13" s="35" t="s">
        <v>93</v>
      </c>
      <c r="F13" s="35" t="s">
        <v>43</v>
      </c>
      <c r="G13" s="35" t="s">
        <v>94</v>
      </c>
      <c r="H13" s="35" t="s">
        <v>36</v>
      </c>
      <c r="I13" s="80" t="s">
        <v>95</v>
      </c>
      <c r="J13" s="79">
        <v>46230</v>
      </c>
      <c r="K13" s="80" t="s">
        <v>38</v>
      </c>
      <c r="L13" s="81" t="s">
        <v>16</v>
      </c>
      <c r="M13" s="35" t="s">
        <v>96</v>
      </c>
      <c r="N13" s="35"/>
      <c r="O13" s="35" t="s">
        <v>97</v>
      </c>
    </row>
    <row r="14" spans="1:26" ht="39.75" customHeight="1" x14ac:dyDescent="0.3">
      <c r="B14" s="37"/>
      <c r="C14" s="37"/>
      <c r="D14" s="37"/>
      <c r="E14" s="37"/>
      <c r="F14" s="37"/>
      <c r="G14" s="37"/>
      <c r="H14" s="36"/>
      <c r="I14" s="38"/>
      <c r="J14" s="38"/>
      <c r="K14" s="39"/>
      <c r="L14" s="40"/>
      <c r="M14" s="37"/>
      <c r="N14" s="37"/>
      <c r="O14" s="37"/>
    </row>
    <row r="15" spans="1:26" ht="39.75" customHeight="1" x14ac:dyDescent="0.3">
      <c r="H15" s="33"/>
      <c r="I15" s="1"/>
      <c r="J15" s="1"/>
      <c r="K15" s="2"/>
      <c r="L15" s="3"/>
    </row>
    <row r="16" spans="1:26" ht="39.75" customHeight="1" x14ac:dyDescent="0.3">
      <c r="H16" s="32"/>
      <c r="I16" s="1"/>
      <c r="J16" s="1"/>
      <c r="K16" s="2"/>
      <c r="L16" s="3"/>
    </row>
    <row r="17" spans="8:13" ht="19.5" customHeight="1" x14ac:dyDescent="0.3">
      <c r="H17" s="32"/>
      <c r="I17" s="1"/>
      <c r="J17" s="1"/>
      <c r="K17" s="27" t="s">
        <v>17</v>
      </c>
      <c r="L17" s="28" t="s">
        <v>18</v>
      </c>
      <c r="M17" s="4"/>
    </row>
    <row r="18" spans="8:13" ht="19.5" customHeight="1" x14ac:dyDescent="0.3">
      <c r="H18" s="32"/>
      <c r="I18" s="1"/>
      <c r="J18" s="1"/>
      <c r="K18" s="27" t="s">
        <v>15</v>
      </c>
      <c r="L18" s="28" t="s">
        <v>19</v>
      </c>
      <c r="M18" s="4"/>
    </row>
    <row r="19" spans="8:13" ht="19.5" customHeight="1" x14ac:dyDescent="0.3">
      <c r="H19" s="32"/>
      <c r="I19" s="1"/>
      <c r="J19" s="1"/>
      <c r="K19" s="27" t="s">
        <v>20</v>
      </c>
      <c r="L19" s="28" t="s">
        <v>16</v>
      </c>
      <c r="M19" s="4"/>
    </row>
    <row r="20" spans="8:13" ht="19.5" customHeight="1" x14ac:dyDescent="0.3">
      <c r="I20" s="1"/>
      <c r="J20" s="1"/>
      <c r="K20" s="27"/>
      <c r="L20" s="28" t="s">
        <v>21</v>
      </c>
      <c r="M20" s="4"/>
    </row>
    <row r="21" spans="8:13" ht="19.5" customHeight="1" x14ac:dyDescent="0.3">
      <c r="I21" s="1"/>
      <c r="J21" s="1"/>
      <c r="K21" s="2"/>
      <c r="L21" s="3"/>
    </row>
    <row r="22" spans="8:13" ht="19.5" customHeight="1" x14ac:dyDescent="0.3">
      <c r="H22" s="32" t="s">
        <v>44</v>
      </c>
      <c r="I22" s="1"/>
      <c r="J22" s="1"/>
      <c r="K22" s="2"/>
      <c r="L22" s="3"/>
    </row>
    <row r="23" spans="8:13" ht="19.5" customHeight="1" x14ac:dyDescent="0.3">
      <c r="I23" s="1"/>
      <c r="J23" s="1"/>
      <c r="K23" s="2"/>
      <c r="L23" s="3"/>
    </row>
    <row r="24" spans="8:13" ht="19.5" customHeight="1" x14ac:dyDescent="0.3">
      <c r="I24" s="1"/>
      <c r="J24" s="1"/>
      <c r="K24" s="2"/>
      <c r="L24" s="3"/>
    </row>
    <row r="25" spans="8:13" ht="19.5" customHeight="1" x14ac:dyDescent="0.3">
      <c r="I25" s="1"/>
      <c r="J25" s="1"/>
      <c r="K25" s="2"/>
      <c r="L25" s="3"/>
    </row>
    <row r="26" spans="8:13" ht="19.5" customHeight="1" x14ac:dyDescent="0.3">
      <c r="I26" s="1"/>
      <c r="J26" s="1"/>
      <c r="K26" s="2"/>
      <c r="L26" s="3"/>
    </row>
    <row r="27" spans="8:13" ht="19.5" customHeight="1" x14ac:dyDescent="0.3">
      <c r="I27" s="1"/>
      <c r="J27" s="1"/>
      <c r="K27" s="2"/>
      <c r="L27" s="3"/>
    </row>
    <row r="28" spans="8:13" ht="19.5" customHeight="1" x14ac:dyDescent="0.3">
      <c r="I28" s="1"/>
      <c r="J28" s="1"/>
      <c r="K28" s="2"/>
      <c r="L28" s="3"/>
    </row>
    <row r="29" spans="8:13" ht="19.5" customHeight="1" x14ac:dyDescent="0.3">
      <c r="I29" s="1"/>
      <c r="J29" s="1"/>
      <c r="K29" s="2"/>
      <c r="L29" s="3"/>
    </row>
    <row r="30" spans="8:13" ht="19.5" customHeight="1" x14ac:dyDescent="0.3">
      <c r="I30" s="1"/>
      <c r="J30" s="1"/>
      <c r="K30" s="2"/>
      <c r="L30" s="3"/>
    </row>
    <row r="31" spans="8:13" ht="19.5" customHeight="1" x14ac:dyDescent="0.3">
      <c r="I31" s="1"/>
      <c r="J31" s="1"/>
      <c r="K31" s="2"/>
      <c r="L31" s="3"/>
    </row>
    <row r="32" spans="8:13" ht="15.75" customHeight="1" x14ac:dyDescent="0.3">
      <c r="I32" s="1"/>
      <c r="J32" s="1"/>
      <c r="K32" s="2"/>
      <c r="L32" s="3"/>
    </row>
    <row r="33" spans="9:12" ht="15.7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25">
      <c r="I987" s="3"/>
      <c r="J987" s="3"/>
      <c r="K987" s="6"/>
      <c r="L987" s="3"/>
    </row>
    <row r="988" spans="9:12" ht="15.75" customHeight="1" x14ac:dyDescent="0.25">
      <c r="I988" s="3"/>
      <c r="J988" s="3"/>
      <c r="K988" s="6"/>
      <c r="L988" s="3"/>
    </row>
    <row r="989" spans="9:12" ht="15.75" customHeight="1" x14ac:dyDescent="0.25"/>
    <row r="990" spans="9:12" ht="15.75" customHeight="1" x14ac:dyDescent="0.25"/>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1">
    <mergeCell ref="B3:O3"/>
  </mergeCells>
  <phoneticPr fontId="11" type="noConversion"/>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abSelected="1" zoomScaleNormal="100" workbookViewId="0">
      <selection activeCell="E22" sqref="E22:H24"/>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7"/>
      <c r="D4" s="7"/>
      <c r="E4" s="7"/>
      <c r="F4" s="4"/>
    </row>
    <row r="5" spans="2:16" ht="14.4" hidden="1" x14ac:dyDescent="0.3">
      <c r="C5" s="7"/>
      <c r="D5" s="7"/>
      <c r="E5" s="7"/>
      <c r="F5" s="4"/>
    </row>
    <row r="6" spans="2:16" ht="39.75" customHeight="1" x14ac:dyDescent="0.25">
      <c r="B6" s="75" t="s">
        <v>22</v>
      </c>
      <c r="C6" s="76"/>
      <c r="D6" s="76"/>
      <c r="E6" s="76"/>
      <c r="F6" s="76"/>
      <c r="G6" s="76"/>
      <c r="H6" s="76"/>
      <c r="I6" s="76"/>
      <c r="J6" s="76"/>
      <c r="K6" s="76"/>
      <c r="L6" s="76"/>
      <c r="M6" s="76"/>
      <c r="N6" s="76"/>
      <c r="O6" s="76"/>
      <c r="P6" s="62"/>
    </row>
    <row r="7" spans="2:16" ht="9.75" customHeight="1" x14ac:dyDescent="0.25">
      <c r="C7" s="8"/>
      <c r="D7" s="8"/>
      <c r="E7" s="8"/>
      <c r="F7" s="8"/>
      <c r="G7" s="8"/>
      <c r="H7" s="8"/>
      <c r="I7" s="8"/>
      <c r="J7" s="8"/>
      <c r="K7" s="8"/>
      <c r="L7" s="8"/>
      <c r="M7" s="8"/>
      <c r="N7" s="8"/>
      <c r="O7" s="8"/>
    </row>
    <row r="8" spans="2:16" ht="9.75" customHeight="1" x14ac:dyDescent="0.3">
      <c r="B8" s="20"/>
      <c r="C8" s="21"/>
      <c r="D8" s="21"/>
      <c r="E8" s="21"/>
      <c r="F8" s="22"/>
      <c r="G8" s="23"/>
      <c r="H8" s="23"/>
      <c r="I8" s="23"/>
      <c r="J8" s="23"/>
      <c r="K8" s="23"/>
      <c r="L8" s="23"/>
      <c r="M8" s="23"/>
      <c r="N8" s="23"/>
      <c r="O8" s="23"/>
      <c r="P8" s="24"/>
    </row>
    <row r="9" spans="2:16" ht="30" customHeight="1" x14ac:dyDescent="0.25">
      <c r="B9" s="25"/>
      <c r="C9" s="9" t="s">
        <v>1</v>
      </c>
      <c r="D9" s="10"/>
      <c r="E9" s="61" t="s">
        <v>23</v>
      </c>
      <c r="F9" s="62"/>
      <c r="G9" s="10"/>
      <c r="H9" s="61" t="s">
        <v>11</v>
      </c>
      <c r="I9" s="62"/>
      <c r="J9" s="11"/>
      <c r="K9" s="11"/>
      <c r="L9" s="11"/>
      <c r="M9" s="11"/>
      <c r="N9" s="11"/>
      <c r="O9" s="11"/>
      <c r="P9" s="26"/>
    </row>
    <row r="10" spans="2:16" ht="30" customHeight="1" x14ac:dyDescent="0.25">
      <c r="B10" s="25"/>
      <c r="C10" s="12" t="s">
        <v>48</v>
      </c>
      <c r="D10" s="13"/>
      <c r="E10" s="63" t="e">
        <f>VLOOKUP(C10,'Formato descripción HU'!B6:O13,5,0)</f>
        <v>#N/A</v>
      </c>
      <c r="F10" s="62"/>
      <c r="G10" s="14"/>
      <c r="H10" s="63" t="e">
        <f>VLOOKUP(C10,'Formato descripción HU'!B6:O13,11,0)</f>
        <v>#N/A</v>
      </c>
      <c r="I10" s="62"/>
      <c r="J10" s="14"/>
      <c r="K10" s="11"/>
      <c r="L10" s="11"/>
      <c r="M10" s="11"/>
      <c r="N10" s="11"/>
      <c r="O10" s="11"/>
      <c r="P10" s="26"/>
    </row>
    <row r="11" spans="2:16" ht="9.75" customHeight="1" x14ac:dyDescent="0.25">
      <c r="B11" s="25"/>
      <c r="C11" s="15"/>
      <c r="D11" s="13"/>
      <c r="E11" s="16"/>
      <c r="F11" s="16"/>
      <c r="G11" s="14"/>
      <c r="H11" s="16"/>
      <c r="I11" s="16"/>
      <c r="J11" s="14"/>
      <c r="K11" s="16"/>
      <c r="L11" s="16"/>
      <c r="M11" s="11"/>
      <c r="N11" s="16"/>
      <c r="O11" s="16"/>
      <c r="P11" s="26"/>
    </row>
    <row r="12" spans="2:16" ht="30" customHeight="1" x14ac:dyDescent="0.25">
      <c r="B12" s="25"/>
      <c r="C12" s="9" t="s">
        <v>24</v>
      </c>
      <c r="D12" s="13"/>
      <c r="E12" s="61" t="s">
        <v>10</v>
      </c>
      <c r="F12" s="62"/>
      <c r="G12" s="14"/>
      <c r="H12" s="61" t="s">
        <v>25</v>
      </c>
      <c r="I12" s="62"/>
      <c r="J12" s="14"/>
      <c r="K12" s="16"/>
      <c r="L12" s="16"/>
      <c r="M12" s="11"/>
      <c r="N12" s="16"/>
      <c r="O12" s="16"/>
      <c r="P12" s="26"/>
    </row>
    <row r="13" spans="2:16" ht="30" customHeight="1" x14ac:dyDescent="0.25">
      <c r="B13" s="25"/>
      <c r="C13" s="12" t="e">
        <f>VLOOKUP('Historia de Usuario'!C10,'Formato descripción HU'!B6:O13,8,0)</f>
        <v>#N/A</v>
      </c>
      <c r="D13" s="13"/>
      <c r="E13" s="63" t="e">
        <f>VLOOKUP(C10,'Formato descripción HU'!B6:O13,10,0)</f>
        <v>#N/A</v>
      </c>
      <c r="F13" s="62"/>
      <c r="G13" s="14"/>
      <c r="H13" s="63" t="e">
        <f>VLOOKUP(C10,'Formato descripción HU'!B6:O13,7,0)</f>
        <v>#N/A</v>
      </c>
      <c r="I13" s="62"/>
      <c r="J13" s="14"/>
      <c r="K13" s="16"/>
      <c r="L13" s="16"/>
      <c r="M13" s="11"/>
      <c r="N13" s="16"/>
      <c r="O13" s="16"/>
      <c r="P13" s="26"/>
    </row>
    <row r="14" spans="2:16" ht="9.75" customHeight="1" x14ac:dyDescent="0.25">
      <c r="B14" s="25"/>
      <c r="C14" s="11"/>
      <c r="D14" s="13"/>
      <c r="E14" s="11"/>
      <c r="F14" s="11"/>
      <c r="G14" s="14"/>
      <c r="H14" s="14"/>
      <c r="I14" s="11"/>
      <c r="J14" s="11"/>
      <c r="K14" s="11"/>
      <c r="L14" s="11"/>
      <c r="M14" s="11"/>
      <c r="N14" s="11"/>
      <c r="O14" s="11"/>
      <c r="P14" s="26"/>
    </row>
    <row r="15" spans="2:16" ht="19.5" customHeight="1" x14ac:dyDescent="0.25">
      <c r="B15" s="25"/>
      <c r="C15" s="43" t="s">
        <v>26</v>
      </c>
      <c r="D15" s="46" t="e">
        <f>VLOOKUP(C10,'Formato descripción HU'!B6:O13,3,0)</f>
        <v>#N/A</v>
      </c>
      <c r="E15" s="65"/>
      <c r="F15" s="11"/>
      <c r="G15" s="43" t="s">
        <v>27</v>
      </c>
      <c r="H15" s="46" t="e">
        <f>VLOOKUP(C10,'Formato descripción HU'!B6:O13,4,0)</f>
        <v>#N/A</v>
      </c>
      <c r="I15" s="72"/>
      <c r="J15" s="65"/>
      <c r="K15" s="11"/>
      <c r="L15" s="43" t="s">
        <v>28</v>
      </c>
      <c r="M15" s="46" t="e">
        <f>VLOOKUP(C10,'Formato descripción HU'!B6:O13,6,0)</f>
        <v>#N/A</v>
      </c>
      <c r="N15" s="47"/>
      <c r="O15" s="48"/>
      <c r="P15" s="26"/>
    </row>
    <row r="16" spans="2:16" ht="19.5" customHeight="1" x14ac:dyDescent="0.25">
      <c r="B16" s="25"/>
      <c r="C16" s="44"/>
      <c r="D16" s="69"/>
      <c r="E16" s="70"/>
      <c r="F16" s="11"/>
      <c r="G16" s="44"/>
      <c r="H16" s="69"/>
      <c r="I16" s="73"/>
      <c r="J16" s="70"/>
      <c r="K16" s="11"/>
      <c r="L16" s="44"/>
      <c r="M16" s="49"/>
      <c r="N16" s="50"/>
      <c r="O16" s="51"/>
      <c r="P16" s="26"/>
    </row>
    <row r="17" spans="2:16" ht="19.5" customHeight="1" x14ac:dyDescent="0.25">
      <c r="B17" s="25"/>
      <c r="C17" s="45"/>
      <c r="D17" s="66"/>
      <c r="E17" s="67"/>
      <c r="F17" s="11"/>
      <c r="G17" s="45"/>
      <c r="H17" s="66"/>
      <c r="I17" s="74"/>
      <c r="J17" s="67"/>
      <c r="K17" s="11"/>
      <c r="L17" s="45"/>
      <c r="M17" s="52"/>
      <c r="N17" s="53"/>
      <c r="O17" s="54"/>
      <c r="P17" s="26"/>
    </row>
    <row r="18" spans="2:16" ht="9.75" customHeight="1" x14ac:dyDescent="0.25">
      <c r="B18" s="25"/>
      <c r="C18" s="11"/>
      <c r="D18" s="11"/>
      <c r="E18" s="11"/>
      <c r="F18" s="11"/>
      <c r="G18" s="14"/>
      <c r="H18" s="14"/>
      <c r="I18" s="14"/>
      <c r="J18" s="11"/>
      <c r="K18" s="11"/>
      <c r="L18" s="11"/>
      <c r="M18" s="11"/>
      <c r="N18" s="11"/>
      <c r="O18" s="11"/>
      <c r="P18" s="26"/>
    </row>
    <row r="19" spans="2:16" ht="19.5" customHeight="1" x14ac:dyDescent="0.25">
      <c r="B19" s="25"/>
      <c r="C19" s="64" t="s">
        <v>29</v>
      </c>
      <c r="D19" s="65"/>
      <c r="E19" s="55" t="e">
        <f>VLOOKUP(C10,'Formato descripción HU'!B6:O13,14,0)</f>
        <v>#N/A</v>
      </c>
      <c r="F19" s="56"/>
      <c r="G19" s="56"/>
      <c r="H19" s="56"/>
      <c r="I19" s="56"/>
      <c r="J19" s="56"/>
      <c r="K19" s="56"/>
      <c r="L19" s="56"/>
      <c r="M19" s="56"/>
      <c r="N19" s="56"/>
      <c r="O19" s="57"/>
      <c r="P19" s="26"/>
    </row>
    <row r="20" spans="2:16" ht="19.5" customHeight="1" x14ac:dyDescent="0.25">
      <c r="B20" s="25"/>
      <c r="C20" s="66"/>
      <c r="D20" s="67"/>
      <c r="E20" s="58"/>
      <c r="F20" s="59"/>
      <c r="G20" s="59"/>
      <c r="H20" s="59"/>
      <c r="I20" s="59"/>
      <c r="J20" s="59"/>
      <c r="K20" s="59"/>
      <c r="L20" s="59"/>
      <c r="M20" s="59"/>
      <c r="N20" s="59"/>
      <c r="O20" s="60"/>
      <c r="P20" s="26"/>
    </row>
    <row r="21" spans="2:16" ht="9.75" customHeight="1" x14ac:dyDescent="0.25">
      <c r="B21" s="25"/>
      <c r="C21" s="11"/>
      <c r="D21" s="11"/>
      <c r="E21" s="11"/>
      <c r="F21" s="11"/>
      <c r="G21" s="11"/>
      <c r="H21" s="11"/>
      <c r="I21" s="11"/>
      <c r="J21" s="11"/>
      <c r="K21" s="11"/>
      <c r="L21" s="11"/>
      <c r="M21" s="11"/>
      <c r="N21" s="11"/>
      <c r="O21" s="11"/>
      <c r="P21" s="26"/>
    </row>
    <row r="22" spans="2:16" ht="19.5" customHeight="1" x14ac:dyDescent="0.25">
      <c r="B22" s="25"/>
      <c r="C22" s="68" t="s">
        <v>30</v>
      </c>
      <c r="D22" s="65"/>
      <c r="E22" s="82" t="e">
        <f>VLOOKUP(C10,'Formato descripción HU'!B6:O13,12,0)</f>
        <v>#N/A</v>
      </c>
      <c r="F22" s="83"/>
      <c r="G22" s="83"/>
      <c r="H22" s="84"/>
      <c r="I22" s="11"/>
      <c r="J22" s="68" t="s">
        <v>13</v>
      </c>
      <c r="K22" s="65"/>
      <c r="L22" s="71" t="e">
        <f>VLOOKUP(C10,'Formato descripción HU'!B6:O13,13,0)</f>
        <v>#N/A</v>
      </c>
      <c r="M22" s="72"/>
      <c r="N22" s="72"/>
      <c r="O22" s="65"/>
      <c r="P22" s="26"/>
    </row>
    <row r="23" spans="2:16" ht="19.5" customHeight="1" x14ac:dyDescent="0.25">
      <c r="B23" s="25"/>
      <c r="C23" s="69"/>
      <c r="D23" s="70"/>
      <c r="E23" s="85"/>
      <c r="F23" s="86"/>
      <c r="G23" s="86"/>
      <c r="H23" s="87"/>
      <c r="I23" s="11"/>
      <c r="J23" s="69"/>
      <c r="K23" s="70"/>
      <c r="L23" s="69"/>
      <c r="M23" s="73"/>
      <c r="N23" s="73"/>
      <c r="O23" s="70"/>
      <c r="P23" s="26"/>
    </row>
    <row r="24" spans="2:16" ht="19.5" customHeight="1" x14ac:dyDescent="0.25">
      <c r="B24" s="25"/>
      <c r="C24" s="66"/>
      <c r="D24" s="67"/>
      <c r="E24" s="88"/>
      <c r="F24" s="89"/>
      <c r="G24" s="89"/>
      <c r="H24" s="90"/>
      <c r="I24" s="11"/>
      <c r="J24" s="66"/>
      <c r="K24" s="67"/>
      <c r="L24" s="66"/>
      <c r="M24" s="74"/>
      <c r="N24" s="74"/>
      <c r="O24" s="67"/>
      <c r="P24" s="26"/>
    </row>
    <row r="25" spans="2:16" ht="9.75" customHeight="1" x14ac:dyDescent="0.25">
      <c r="B25" s="17"/>
      <c r="C25" s="18"/>
      <c r="D25" s="18"/>
      <c r="E25" s="18"/>
      <c r="F25" s="18"/>
      <c r="G25" s="18"/>
      <c r="H25" s="18"/>
      <c r="I25" s="18"/>
      <c r="J25" s="18"/>
      <c r="K25" s="18"/>
      <c r="L25" s="18"/>
      <c r="M25" s="18"/>
      <c r="N25" s="18"/>
      <c r="O25" s="18"/>
      <c r="P25" s="19"/>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HU'!$B$6:$B$11</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SOFIA FIGUEROA</cp:lastModifiedBy>
  <cp:revision/>
  <dcterms:created xsi:type="dcterms:W3CDTF">2019-10-21T15:37:14Z</dcterms:created>
  <dcterms:modified xsi:type="dcterms:W3CDTF">2026-07-22T13:58:23Z</dcterms:modified>
  <cp:category/>
  <cp:contentStatus/>
</cp:coreProperties>
</file>