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300\Downloads\"/>
    </mc:Choice>
  </mc:AlternateContent>
  <xr:revisionPtr revIDLastSave="0" documentId="13_ncr:1_{51414E78-6B7F-456E-9387-F02D54E5D1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<sst xmlns="http://schemas.openxmlformats.org/spreadsheetml/2006/main" count="140" uniqueCount="107">
  <si>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</si>
  <si>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</si>
  <si>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</si>
  <si>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</si>
  <si>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</si>
  <si>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</si>
  <si>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</si>
  <si>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</si>
  <si>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</si>
  <si>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</si>
  <si>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</si>
  <si>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</si>
  <si>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</si>
  <si>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</si>
  <si>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</si>
  <si>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</si>
  <si>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</si>
  <si>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</si>
  <si>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</si>
  <si>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</si>
  <si>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</si>
  <si>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</si>
  <si>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</si>
  <si>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</si>
  <si>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</si>
  <si>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</si>
  <si>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</si>
  <si>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</si>
  <si>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</si>
  <si>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</si>
  <si>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</si>
  <si>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</si>
  <si>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Luces encendidas sin necesidad</t>
  </si>
  <si>
    <t>Detectar presencia de personas</t>
  </si>
  <si>
    <t>Usuario del hogar</t>
  </si>
  <si>
    <t>1. Identificar el espacio donde se aplicará. 2. Revisar dónde colocar el sensor. 3. Probar la detección de movimiento.</t>
  </si>
  <si>
    <t>Sofía</t>
  </si>
  <si>
    <t>3 horas</t>
  </si>
  <si>
    <t>Verificar que el sensor detecte movimiento correctamente.</t>
  </si>
  <si>
    <t>Sensor de movimiento</t>
  </si>
  <si>
    <t>Detección de Presencia</t>
  </si>
  <si>
    <t>REQ002</t>
  </si>
  <si>
    <t>Olvido al apagar las luces</t>
  </si>
  <si>
    <t>Programar apagado automático</t>
  </si>
  <si>
    <t>1. Crear la condición en el programa. 2. Verificar si no hay movimiento. 3. Apagar la luz después de un tiempo determinado.</t>
  </si>
  <si>
    <t>Alexander</t>
  </si>
  <si>
    <t>4 horas</t>
  </si>
  <si>
    <t>Comprobar que la luz se apague cuando no haya nadie.</t>
  </si>
  <si>
    <t>Apagado automático</t>
  </si>
  <si>
    <t>Apagado Automático de Luz</t>
  </si>
  <si>
    <t>REQ003</t>
  </si>
  <si>
    <t>Encender la luz manualmente en la oscuridad</t>
  </si>
  <si>
    <t>Encender la luz automáticamente</t>
  </si>
  <si>
    <t>1. Detectar movimiento. 2. Enviar la señal al controlador. 3. Encender la luz de prueba.</t>
  </si>
  <si>
    <t>Santiago</t>
  </si>
  <si>
    <t>Verificar que la luz se encienda al pasar una persona.</t>
  </si>
  <si>
    <t>Encendido automático</t>
  </si>
  <si>
    <t>Encendido Automático de Luz</t>
  </si>
  <si>
    <t>REQ004</t>
  </si>
  <si>
    <t>Falta de control en el consumo eléctrico</t>
  </si>
  <si>
    <t>Controlar el uso de la iluminación</t>
  </si>
  <si>
    <t>1. Programar las condiciones. 2. Probar el encendido y apagado. 3. Ajustar el tiempo de espera.</t>
  </si>
  <si>
    <t>Media</t>
  </si>
  <si>
    <t>Revisar que la luz no quede prendida sin necesidad.</t>
  </si>
  <si>
    <t>Control de iluminación</t>
  </si>
  <si>
    <t>Control de Iluminación</t>
  </si>
  <si>
    <t>REQ005</t>
  </si>
  <si>
    <t>Necesidad de un prototipo sencillo</t>
  </si>
  <si>
    <t>Armar prototipo con Arduino</t>
  </si>
  <si>
    <t>Estudiante / Evaluador</t>
  </si>
  <si>
    <t>1. Conectar Arduino. 2. Conectar sensor y luz. 3. Revisar el circuito completo. 4. Realizar pruebas generales.</t>
  </si>
  <si>
    <t>5 horas</t>
  </si>
  <si>
    <t>Comprobar que todos los componentes funcionen correctamente.</t>
  </si>
  <si>
    <t>Prototipo del sistema</t>
  </si>
  <si>
    <t>Prototipo del Sistema</t>
  </si>
  <si>
    <t>REQ006</t>
  </si>
  <si>
    <t>Posibles errores en la programación</t>
  </si>
  <si>
    <t>Revisar el código del proyecto</t>
  </si>
  <si>
    <t>Estudiantes</t>
  </si>
  <si>
    <t>1. Escribir el código. 2. Verificar las condiciones. 3. Corregir errores si la luz no responde bien.</t>
  </si>
  <si>
    <t>Ejecutar el programa y validar el resultado.</t>
  </si>
  <si>
    <t>Prueba de programación</t>
  </si>
  <si>
    <t>Validación del Código</t>
  </si>
  <si>
    <t>REQ007</t>
  </si>
  <si>
    <t>No saber si el sistema sirve en casa</t>
  </si>
  <si>
    <t>Probar en un espacio de ejemplo</t>
  </si>
  <si>
    <t>1. Simular un pasillo, baño o habitación. 2. Pasar frente al sensor. 3. Observar el encendido y apagado. 4. Registrar resultados.</t>
  </si>
  <si>
    <t>Verificar que funcione en una situación parecida a la real.</t>
  </si>
  <si>
    <t>Prueba en espacio común</t>
  </si>
  <si>
    <t>Prueba en Espacio Común</t>
  </si>
  <si>
    <t>REQ008</t>
  </si>
  <si>
    <t>Falta de explicación del funcionamiento</t>
  </si>
  <si>
    <t>Explicar el proceso del sistema</t>
  </si>
  <si>
    <t>Evaluador / Docente</t>
  </si>
  <si>
    <t>1. Organizar la exposición. 2. Preparar la explicación del problema. 3. Explicar objetivos, alcance y funcionamiento. 4. Ensayar la defensa.</t>
  </si>
  <si>
    <t>Todos</t>
  </si>
  <si>
    <t>Defensa del proyecto y demostración.</t>
  </si>
  <si>
    <t>Presentación del Proyecto</t>
  </si>
  <si>
    <t>Presentación del proyecto</t>
  </si>
  <si>
    <t>El programa debera Ahorrar energía en el hogar</t>
  </si>
  <si>
    <t>El programa debera Apagar la luz automáticamente</t>
  </si>
  <si>
    <t>El programa debera Brindar comodidad al usuario</t>
  </si>
  <si>
    <t>El programa debera reducir desperdicio de energía</t>
  </si>
  <si>
    <t>El programa debera Demostrar el funcionamiento del sistema</t>
  </si>
  <si>
    <t>El programa debera Evitar fallas en el sistema</t>
  </si>
  <si>
    <t>El programa debera Comprobar su utilidad en espacios comunes</t>
  </si>
  <si>
    <t>El programa debera Presentar el proyecto de forma clara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</si>
</sst>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vertical="center"/>
    </xf>
    <xf numFmtId="0" fontId="0" fillId="3" borderId="5" xfId="0" applyFill="1" applyBorder="1"/>
    <xf numFmtId="0" fontId="10" fillId="5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7" xfId="0" applyFill="1" applyBorder="1"/>
    <xf numFmtId="0" fontId="5" fillId="3" borderId="9" xfId="0" applyFont="1" applyFill="1" applyBorder="1" applyAlignment="1">
      <alignment horizontal="left" vertical="center" wrapText="1"/>
    </xf>
    <xf numFmtId="0" fontId="1" fillId="3" borderId="9" xfId="0" applyFont="1" applyFill="1" applyBorder="1"/>
    <xf numFmtId="0" fontId="0" fillId="3" borderId="9" xfId="0" applyFill="1" applyBorder="1"/>
    <xf numFmtId="0" fontId="0" fillId="3" borderId="8" xfId="0" applyFill="1" applyBorder="1"/>
    <xf numFmtId="0" fontId="0" fillId="3" borderId="11" xfId="0" applyFill="1" applyBorder="1"/>
    <xf numFmtId="0" fontId="0" fillId="3" borderId="12" xfId="0" applyFill="1" applyBorder="1"/>
    <xf numFmtId="0" fontId="1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5" fillId="0" borderId="0" xfId="0" applyFont="1"/>
    <xf numFmtId="0" fontId="2" fillId="2" borderId="2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14" fontId="0" fillId="0" borderId="23" xfId="0" applyNumberFormat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8" fillId="6" borderId="6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11" fillId="7" borderId="7" xfId="0" applyFont="1" applyFill="1" applyBorder="1" applyAlignment="1">
      <alignment horizontal="center" vertical="center"/>
    </xf>
    <xf numFmtId="0" fontId="7" fillId="0" borderId="8" xfId="0" applyFont="1" applyBorder="1"/>
    <xf numFmtId="0" fontId="7" fillId="0" borderId="20" xfId="0" applyFont="1" applyBorder="1"/>
    <xf numFmtId="0" fontId="7" fillId="0" borderId="22" xfId="0" applyFont="1" applyBorder="1"/>
    <xf numFmtId="0" fontId="8" fillId="4" borderId="7" xfId="0" applyFont="1" applyFill="1" applyBorder="1" applyAlignment="1">
      <alignment horizontal="center" vertical="center"/>
    </xf>
    <xf numFmtId="0" fontId="7" fillId="0" borderId="11" xfId="0" applyFont="1" applyBorder="1"/>
    <xf numFmtId="0" fontId="7" fillId="0" borderId="12" xfId="0" applyFont="1" applyBorder="1"/>
    <xf numFmtId="0" fontId="1" fillId="5" borderId="7" xfId="0" applyFont="1" applyFill="1" applyBorder="1" applyAlignment="1">
      <alignment horizontal="center" vertical="center"/>
    </xf>
    <xf numFmtId="0" fontId="7" fillId="0" borderId="9" xfId="0" applyFont="1" applyBorder="1"/>
    <xf numFmtId="0" fontId="0" fillId="0" borderId="0" xfId="0"/>
    <xf numFmtId="0" fontId="7" fillId="0" borderId="21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3" xfId="0" applyFont="1" applyBorder="1"/>
    <xf numFmtId="0" fontId="8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A7" zoomScale="85" zoomScaleNormal="85" workbookViewId="0">
      <selection activeCell="K15" sqref="K15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2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35" t="s">
        <v>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31" t="s">
        <v>1</v>
      </c>
      <c r="C5" s="31" t="s">
        <v>2</v>
      </c>
      <c r="D5" s="32" t="s">
        <v>3</v>
      </c>
      <c r="E5" s="31" t="s">
        <v>4</v>
      </c>
      <c r="F5" s="31" t="s">
        <v>5</v>
      </c>
      <c r="G5" s="31" t="s">
        <v>6</v>
      </c>
      <c r="H5" s="31" t="s">
        <v>7</v>
      </c>
      <c r="I5" s="31" t="s">
        <v>8</v>
      </c>
      <c r="J5" s="31" t="s">
        <v>9</v>
      </c>
      <c r="K5" s="31" t="s">
        <v>10</v>
      </c>
      <c r="L5" s="31" t="s">
        <v>11</v>
      </c>
      <c r="M5" s="31" t="s">
        <v>12</v>
      </c>
      <c r="N5" s="31" t="s">
        <v>13</v>
      </c>
      <c r="O5" s="31" t="s">
        <v>14</v>
      </c>
    </row>
    <row r="6" spans="1:26" ht="103.5" customHeight="1" x14ac:dyDescent="0.2">
      <c r="B6" s="33" t="s">
        <v>15</v>
      </c>
      <c r="C6" s="33" t="s">
        <v>32</v>
      </c>
      <c r="D6" s="33" t="s">
        <v>99</v>
      </c>
      <c r="E6" s="33" t="s">
        <v>33</v>
      </c>
      <c r="F6" s="33" t="s">
        <v>34</v>
      </c>
      <c r="G6" s="33" t="s">
        <v>35</v>
      </c>
      <c r="H6" s="33" t="s">
        <v>36</v>
      </c>
      <c r="I6" s="33" t="s">
        <v>37</v>
      </c>
      <c r="J6" s="34">
        <v>46170</v>
      </c>
      <c r="K6" s="33" t="s">
        <v>18</v>
      </c>
      <c r="L6" s="33" t="s">
        <v>19</v>
      </c>
      <c r="M6" s="33" t="s">
        <v>38</v>
      </c>
      <c r="N6" s="33" t="s">
        <v>39</v>
      </c>
      <c r="O6" s="33" t="s">
        <v>40</v>
      </c>
    </row>
    <row r="7" spans="1:26" ht="99.75" customHeight="1" x14ac:dyDescent="0.2">
      <c r="A7" s="5"/>
      <c r="B7" s="33" t="s">
        <v>41</v>
      </c>
      <c r="C7" s="33" t="s">
        <v>42</v>
      </c>
      <c r="D7" s="33" t="s">
        <v>100</v>
      </c>
      <c r="E7" s="33" t="s">
        <v>43</v>
      </c>
      <c r="F7" s="33" t="s">
        <v>34</v>
      </c>
      <c r="G7" s="33" t="s">
        <v>44</v>
      </c>
      <c r="H7" s="33" t="s">
        <v>45</v>
      </c>
      <c r="I7" s="33" t="s">
        <v>46</v>
      </c>
      <c r="J7" s="34">
        <v>46170</v>
      </c>
      <c r="K7" s="33" t="s">
        <v>18</v>
      </c>
      <c r="L7" s="33" t="s">
        <v>19</v>
      </c>
      <c r="M7" s="33" t="s">
        <v>47</v>
      </c>
      <c r="N7" s="33" t="s">
        <v>48</v>
      </c>
      <c r="O7" s="33" t="s">
        <v>49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78" customHeight="1" x14ac:dyDescent="0.2">
      <c r="B8" s="33" t="s">
        <v>50</v>
      </c>
      <c r="C8" s="33" t="s">
        <v>51</v>
      </c>
      <c r="D8" s="33" t="s">
        <v>101</v>
      </c>
      <c r="E8" s="33" t="s">
        <v>52</v>
      </c>
      <c r="F8" s="33" t="s">
        <v>34</v>
      </c>
      <c r="G8" s="33" t="s">
        <v>53</v>
      </c>
      <c r="H8" s="33" t="s">
        <v>54</v>
      </c>
      <c r="I8" s="33" t="s">
        <v>37</v>
      </c>
      <c r="J8" s="34">
        <v>46174</v>
      </c>
      <c r="K8" s="33" t="s">
        <v>18</v>
      </c>
      <c r="L8" s="33" t="s">
        <v>19</v>
      </c>
      <c r="M8" s="33" t="s">
        <v>55</v>
      </c>
      <c r="N8" s="33" t="s">
        <v>56</v>
      </c>
      <c r="O8" s="33" t="s">
        <v>57</v>
      </c>
    </row>
    <row r="9" spans="1:26" ht="78" customHeight="1" x14ac:dyDescent="0.2">
      <c r="B9" s="33" t="s">
        <v>58</v>
      </c>
      <c r="C9" s="33" t="s">
        <v>59</v>
      </c>
      <c r="D9" s="33" t="s">
        <v>102</v>
      </c>
      <c r="E9" s="33" t="s">
        <v>60</v>
      </c>
      <c r="F9" s="33" t="s">
        <v>34</v>
      </c>
      <c r="G9" s="33" t="s">
        <v>61</v>
      </c>
      <c r="H9" s="33" t="s">
        <v>36</v>
      </c>
      <c r="I9" s="33" t="s">
        <v>46</v>
      </c>
      <c r="J9" s="34">
        <v>265322</v>
      </c>
      <c r="K9" s="33" t="s">
        <v>62</v>
      </c>
      <c r="L9" s="33" t="s">
        <v>19</v>
      </c>
      <c r="M9" s="33" t="s">
        <v>63</v>
      </c>
      <c r="N9" s="33" t="s">
        <v>64</v>
      </c>
      <c r="O9" s="33" t="s">
        <v>65</v>
      </c>
    </row>
    <row r="10" spans="1:26" ht="66" customHeight="1" x14ac:dyDescent="0.2">
      <c r="B10" s="33" t="s">
        <v>66</v>
      </c>
      <c r="C10" s="33" t="s">
        <v>67</v>
      </c>
      <c r="D10" s="33" t="s">
        <v>103</v>
      </c>
      <c r="E10" s="33" t="s">
        <v>68</v>
      </c>
      <c r="F10" s="33" t="s">
        <v>69</v>
      </c>
      <c r="G10" s="33" t="s">
        <v>70</v>
      </c>
      <c r="H10" s="33" t="s">
        <v>45</v>
      </c>
      <c r="I10" s="33" t="s">
        <v>71</v>
      </c>
      <c r="J10" s="34">
        <v>46177</v>
      </c>
      <c r="K10" s="33" t="s">
        <v>18</v>
      </c>
      <c r="L10" s="33" t="s">
        <v>19</v>
      </c>
      <c r="M10" s="33" t="s">
        <v>72</v>
      </c>
      <c r="N10" s="33" t="s">
        <v>73</v>
      </c>
      <c r="O10" s="33" t="s">
        <v>74</v>
      </c>
      <c r="P10" s="30"/>
    </row>
    <row r="11" spans="1:26" ht="99.75" customHeight="1" x14ac:dyDescent="0.2">
      <c r="B11" s="33" t="s">
        <v>75</v>
      </c>
      <c r="C11" s="33" t="s">
        <v>76</v>
      </c>
      <c r="D11" s="33" t="s">
        <v>104</v>
      </c>
      <c r="E11" s="33" t="s">
        <v>77</v>
      </c>
      <c r="F11" s="33" t="s">
        <v>78</v>
      </c>
      <c r="G11" s="33" t="s">
        <v>79</v>
      </c>
      <c r="H11" s="33" t="s">
        <v>54</v>
      </c>
      <c r="I11" s="33" t="s">
        <v>37</v>
      </c>
      <c r="J11" s="34">
        <v>46181</v>
      </c>
      <c r="K11" s="33" t="s">
        <v>62</v>
      </c>
      <c r="L11" s="33" t="s">
        <v>19</v>
      </c>
      <c r="M11" s="33" t="s">
        <v>80</v>
      </c>
      <c r="N11" s="33" t="s">
        <v>81</v>
      </c>
      <c r="O11" s="33" t="s">
        <v>82</v>
      </c>
    </row>
    <row r="12" spans="1:26" ht="72" customHeight="1" x14ac:dyDescent="0.2">
      <c r="B12" s="33" t="s">
        <v>83</v>
      </c>
      <c r="C12" s="33" t="s">
        <v>84</v>
      </c>
      <c r="D12" s="33" t="s">
        <v>105</v>
      </c>
      <c r="E12" s="33" t="s">
        <v>85</v>
      </c>
      <c r="F12" s="33" t="s">
        <v>34</v>
      </c>
      <c r="G12" s="33" t="s">
        <v>86</v>
      </c>
      <c r="H12" s="33" t="s">
        <v>36</v>
      </c>
      <c r="I12" s="33" t="s">
        <v>37</v>
      </c>
      <c r="J12" s="34">
        <v>46181</v>
      </c>
      <c r="K12" s="33" t="s">
        <v>62</v>
      </c>
      <c r="L12" s="33" t="s">
        <v>19</v>
      </c>
      <c r="M12" s="33" t="s">
        <v>87</v>
      </c>
      <c r="N12" s="33" t="s">
        <v>88</v>
      </c>
      <c r="O12" s="33" t="s">
        <v>89</v>
      </c>
    </row>
    <row r="13" spans="1:26" ht="65.25" customHeight="1" x14ac:dyDescent="0.2">
      <c r="B13" s="33" t="s">
        <v>90</v>
      </c>
      <c r="C13" s="33" t="s">
        <v>91</v>
      </c>
      <c r="D13" s="33" t="s">
        <v>106</v>
      </c>
      <c r="E13" s="33" t="s">
        <v>92</v>
      </c>
      <c r="F13" s="33" t="s">
        <v>93</v>
      </c>
      <c r="G13" s="33" t="s">
        <v>94</v>
      </c>
      <c r="H13" s="33" t="s">
        <v>95</v>
      </c>
      <c r="I13" s="33" t="s">
        <v>46</v>
      </c>
      <c r="J13" s="34">
        <v>46181</v>
      </c>
      <c r="K13" s="33" t="s">
        <v>18</v>
      </c>
      <c r="L13" s="33" t="s">
        <v>19</v>
      </c>
      <c r="M13" s="33" t="s">
        <v>96</v>
      </c>
      <c r="N13" s="33" t="s">
        <v>98</v>
      </c>
      <c r="O13" s="33" t="s">
        <v>97</v>
      </c>
    </row>
    <row r="14" spans="1:26" ht="64.5" customHeight="1" x14ac:dyDescent="0.2">
      <c r="I14" s="1"/>
      <c r="J14" s="1"/>
      <c r="K14" s="7"/>
      <c r="L14" s="3"/>
    </row>
    <row r="15" spans="1:26" ht="39.75" customHeight="1" x14ac:dyDescent="0.25">
      <c r="I15" s="1"/>
      <c r="J15" s="1"/>
      <c r="K15" s="2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19.5" customHeight="1" x14ac:dyDescent="0.25">
      <c r="I18" s="1"/>
      <c r="J18" s="1"/>
      <c r="K18" s="28" t="s">
        <v>18</v>
      </c>
      <c r="L18" s="29" t="s">
        <v>19</v>
      </c>
      <c r="M18" s="4"/>
    </row>
    <row r="19" spans="9:13" ht="19.5" customHeight="1" x14ac:dyDescent="0.25">
      <c r="I19" s="1"/>
      <c r="J19" s="1"/>
      <c r="K19" s="28" t="s">
        <v>16</v>
      </c>
      <c r="L19" s="29" t="s">
        <v>20</v>
      </c>
      <c r="M19" s="4"/>
    </row>
    <row r="20" spans="9:13" ht="19.5" customHeight="1" x14ac:dyDescent="0.25">
      <c r="I20" s="1"/>
      <c r="J20" s="1"/>
      <c r="K20" s="28" t="s">
        <v>21</v>
      </c>
      <c r="L20" s="29" t="s">
        <v>17</v>
      </c>
      <c r="M20" s="4"/>
    </row>
    <row r="21" spans="9:13" ht="19.5" customHeight="1" x14ac:dyDescent="0.25">
      <c r="I21" s="1"/>
      <c r="J21" s="1"/>
      <c r="K21" s="28"/>
      <c r="L21" s="29" t="s">
        <v>22</v>
      </c>
      <c r="M21" s="4"/>
    </row>
    <row r="22" spans="9:13" ht="19.5" customHeight="1" x14ac:dyDescent="0.25">
      <c r="I22" s="1"/>
      <c r="J22" s="1"/>
      <c r="K22" s="2"/>
      <c r="L22" s="3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">
      <c r="I988" s="3"/>
      <c r="J988" s="3"/>
      <c r="K988" s="6"/>
      <c r="L988" s="3"/>
    </row>
    <row r="989" spans="9:12" ht="15.75" customHeight="1" x14ac:dyDescent="0.2">
      <c r="I989" s="3"/>
      <c r="J989" s="3"/>
      <c r="K989" s="6"/>
      <c r="L989" s="3"/>
    </row>
    <row r="990" spans="9:12" ht="15.75" customHeight="1" x14ac:dyDescent="0.2"/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B3:O3"/>
  </mergeCells>
  <phoneticPr fontId="12" type="noConversion"/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D10" sqref="D10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8"/>
      <c r="D4" s="8"/>
      <c r="E4" s="8"/>
      <c r="F4" s="4"/>
    </row>
    <row r="5" spans="2:16" hidden="1" x14ac:dyDescent="0.25">
      <c r="C5" s="8"/>
      <c r="D5" s="8"/>
      <c r="E5" s="8"/>
      <c r="F5" s="4"/>
    </row>
    <row r="6" spans="2:16" ht="39.75" customHeight="1" x14ac:dyDescent="0.2">
      <c r="B6" s="51" t="s">
        <v>23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3"/>
    </row>
    <row r="7" spans="2:16" ht="9.75" customHeight="1" x14ac:dyDescent="0.2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2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">
      <c r="B9" s="26"/>
      <c r="C9" s="10" t="s">
        <v>1</v>
      </c>
      <c r="D9" s="11"/>
      <c r="E9" s="54" t="s">
        <v>24</v>
      </c>
      <c r="F9" s="53"/>
      <c r="G9" s="11"/>
      <c r="H9" s="54" t="s">
        <v>11</v>
      </c>
      <c r="I9" s="53"/>
      <c r="J9" s="12"/>
      <c r="K9" s="12"/>
      <c r="L9" s="12"/>
      <c r="M9" s="12"/>
      <c r="N9" s="12"/>
      <c r="O9" s="12"/>
      <c r="P9" s="27"/>
    </row>
    <row r="10" spans="2:16" ht="30" customHeight="1" x14ac:dyDescent="0.2">
      <c r="B10" s="26"/>
      <c r="C10" s="13" t="s">
        <v>50</v>
      </c>
      <c r="D10" s="14"/>
      <c r="E10" s="55" t="str">
        <f>VLOOKUP(C10,'Formato descripción HU'!B6:O14,5,0)</f>
        <v>Usuario del hogar</v>
      </c>
      <c r="F10" s="53"/>
      <c r="G10" s="15"/>
      <c r="H10" s="55" t="str">
        <f>VLOOKUP(C10,'Formato descripción HU'!B6:O14,11,0)</f>
        <v>No iniciado</v>
      </c>
      <c r="I10" s="53"/>
      <c r="J10" s="15"/>
      <c r="K10" s="12"/>
      <c r="L10" s="12"/>
      <c r="M10" s="12"/>
      <c r="N10" s="12"/>
      <c r="O10" s="12"/>
      <c r="P10" s="27"/>
    </row>
    <row r="11" spans="2:16" ht="9.75" customHeight="1" x14ac:dyDescent="0.2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">
      <c r="B12" s="26"/>
      <c r="C12" s="10" t="s">
        <v>25</v>
      </c>
      <c r="D12" s="14"/>
      <c r="E12" s="54" t="s">
        <v>10</v>
      </c>
      <c r="F12" s="53"/>
      <c r="G12" s="15"/>
      <c r="H12" s="54" t="s">
        <v>26</v>
      </c>
      <c r="I12" s="53"/>
      <c r="J12" s="15"/>
      <c r="K12" s="17"/>
      <c r="L12" s="17"/>
      <c r="M12" s="12"/>
      <c r="N12" s="17"/>
      <c r="O12" s="17"/>
      <c r="P12" s="27"/>
    </row>
    <row r="13" spans="2:16" ht="30" customHeight="1" x14ac:dyDescent="0.2">
      <c r="B13" s="26"/>
      <c r="C13" s="13" t="str">
        <f>VLOOKUP('Historia de Usuario'!C10,'Formato descripción HU'!B6:O14,8,0)</f>
        <v>3 horas</v>
      </c>
      <c r="D13" s="14"/>
      <c r="E13" s="55" t="str">
        <f>VLOOKUP(C10,'Formato descripción HU'!B6:O14,10,0)</f>
        <v>Alta</v>
      </c>
      <c r="F13" s="53"/>
      <c r="G13" s="15"/>
      <c r="H13" s="55" t="str">
        <f>VLOOKUP(C10,'Formato descripción HU'!B6:O14,7,0)</f>
        <v>Santiago</v>
      </c>
      <c r="I13" s="53"/>
      <c r="J13" s="15"/>
      <c r="K13" s="17"/>
      <c r="L13" s="17"/>
      <c r="M13" s="12"/>
      <c r="N13" s="17"/>
      <c r="O13" s="17"/>
      <c r="P13" s="27"/>
    </row>
    <row r="14" spans="2:16" ht="9.75" customHeight="1" x14ac:dyDescent="0.2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">
      <c r="B15" s="26"/>
      <c r="C15" s="37" t="s">
        <v>27</v>
      </c>
      <c r="D15" s="56" t="str">
        <f>VLOOKUP(C10,'Formato descripción HU'!B6:O14,3,0)</f>
        <v>El programa debera Brindar comodidad al usuario</v>
      </c>
      <c r="E15" s="41"/>
      <c r="F15" s="12"/>
      <c r="G15" s="37" t="s">
        <v>28</v>
      </c>
      <c r="H15" s="56" t="str">
        <f>VLOOKUP(C10,'Formato descripción HU'!B6:O14,4,0)</f>
        <v>Encender la luz automáticamente</v>
      </c>
      <c r="I15" s="48"/>
      <c r="J15" s="41"/>
      <c r="K15" s="12"/>
      <c r="L15" s="37" t="s">
        <v>29</v>
      </c>
      <c r="M15" s="47" t="str">
        <f>VLOOKUP(C10,'Formato descripción HU'!B6:O14,6,0)</f>
        <v>1. Detectar movimiento. 2. Enviar la señal al controlador. 3. Encender la luz de prueba.</v>
      </c>
      <c r="N15" s="48"/>
      <c r="O15" s="41"/>
      <c r="P15" s="27"/>
    </row>
    <row r="16" spans="2:16" ht="19.5" customHeight="1" x14ac:dyDescent="0.2">
      <c r="B16" s="26"/>
      <c r="C16" s="38"/>
      <c r="D16" s="45"/>
      <c r="E16" s="46"/>
      <c r="F16" s="12"/>
      <c r="G16" s="38"/>
      <c r="H16" s="45"/>
      <c r="I16" s="49"/>
      <c r="J16" s="46"/>
      <c r="K16" s="12"/>
      <c r="L16" s="38"/>
      <c r="M16" s="45"/>
      <c r="N16" s="49"/>
      <c r="O16" s="46"/>
      <c r="P16" s="27"/>
    </row>
    <row r="17" spans="2:16" ht="19.5" customHeight="1" x14ac:dyDescent="0.2">
      <c r="B17" s="26"/>
      <c r="C17" s="39"/>
      <c r="D17" s="42"/>
      <c r="E17" s="43"/>
      <c r="F17" s="12"/>
      <c r="G17" s="39"/>
      <c r="H17" s="42"/>
      <c r="I17" s="50"/>
      <c r="J17" s="43"/>
      <c r="K17" s="12"/>
      <c r="L17" s="39"/>
      <c r="M17" s="42"/>
      <c r="N17" s="50"/>
      <c r="O17" s="43"/>
      <c r="P17" s="27"/>
    </row>
    <row r="18" spans="2:16" ht="9.75" customHeight="1" x14ac:dyDescent="0.2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">
      <c r="B19" s="26"/>
      <c r="C19" s="40" t="s">
        <v>30</v>
      </c>
      <c r="D19" s="41"/>
      <c r="E19" s="57" t="str">
        <f>VLOOKUP(C10,'Formato descripción HU'!B6:O14,14,0)</f>
        <v>Encendido Automático de Luz</v>
      </c>
      <c r="F19" s="58"/>
      <c r="G19" s="58"/>
      <c r="H19" s="58"/>
      <c r="I19" s="58"/>
      <c r="J19" s="58"/>
      <c r="K19" s="58"/>
      <c r="L19" s="58"/>
      <c r="M19" s="58"/>
      <c r="N19" s="58"/>
      <c r="O19" s="59"/>
      <c r="P19" s="27"/>
    </row>
    <row r="20" spans="2:16" ht="19.5" customHeight="1" x14ac:dyDescent="0.2">
      <c r="B20" s="26"/>
      <c r="C20" s="42"/>
      <c r="D20" s="43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27"/>
    </row>
    <row r="21" spans="2:16" ht="9.75" customHeight="1" x14ac:dyDescent="0.2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">
      <c r="B22" s="26"/>
      <c r="C22" s="44" t="s">
        <v>31</v>
      </c>
      <c r="D22" s="41"/>
      <c r="E22" s="47" t="str">
        <f>VLOOKUP(C10,'Formato descripción HU'!B6:O14,12,0)</f>
        <v>Verificar que la luz se encienda al pasar una persona.</v>
      </c>
      <c r="F22" s="48"/>
      <c r="G22" s="48"/>
      <c r="H22" s="41"/>
      <c r="I22" s="12"/>
      <c r="J22" s="44" t="s">
        <v>13</v>
      </c>
      <c r="K22" s="41"/>
      <c r="L22" s="47" t="str">
        <f>VLOOKUP(C10,'Formato descripción HU'!B6:O14,13,0)</f>
        <v>Encendido automático</v>
      </c>
      <c r="M22" s="48"/>
      <c r="N22" s="48"/>
      <c r="O22" s="41"/>
      <c r="P22" s="27"/>
    </row>
    <row r="23" spans="2:16" ht="19.5" customHeight="1" x14ac:dyDescent="0.2">
      <c r="B23" s="26"/>
      <c r="C23" s="45"/>
      <c r="D23" s="46"/>
      <c r="E23" s="45"/>
      <c r="F23" s="49"/>
      <c r="G23" s="49"/>
      <c r="H23" s="46"/>
      <c r="I23" s="12"/>
      <c r="J23" s="45"/>
      <c r="K23" s="46"/>
      <c r="L23" s="45"/>
      <c r="M23" s="49"/>
      <c r="N23" s="49"/>
      <c r="O23" s="46"/>
      <c r="P23" s="27"/>
    </row>
    <row r="24" spans="2:16" ht="19.5" customHeight="1" x14ac:dyDescent="0.2">
      <c r="B24" s="26"/>
      <c r="C24" s="42"/>
      <c r="D24" s="43"/>
      <c r="E24" s="42"/>
      <c r="F24" s="50"/>
      <c r="G24" s="50"/>
      <c r="H24" s="43"/>
      <c r="I24" s="12"/>
      <c r="J24" s="42"/>
      <c r="K24" s="43"/>
      <c r="L24" s="42"/>
      <c r="M24" s="50"/>
      <c r="N24" s="50"/>
      <c r="O24" s="43"/>
      <c r="P24" s="27"/>
    </row>
    <row r="25" spans="2:16" ht="9.75" customHeight="1" x14ac:dyDescent="0.2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G303</cp:lastModifiedBy>
  <cp:revision/>
  <dcterms:created xsi:type="dcterms:W3CDTF">2019-10-21T15:37:14Z</dcterms:created>
  <dcterms:modified xsi:type="dcterms:W3CDTF">2026-06-12T14:56:46Z</dcterms:modified>
  <cp:category/>
  <cp:contentStatus/>
</cp:coreProperties>
</file>