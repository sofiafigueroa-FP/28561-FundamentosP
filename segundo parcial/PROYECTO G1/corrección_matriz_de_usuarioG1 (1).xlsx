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35EEDC9-A096-4F9D-8795-36B77B9F66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<sst xmlns="http://schemas.openxmlformats.org/spreadsheetml/2006/main" count="133" uniqueCount="99">
  <si>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</si>
  <si>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</si>
  <si>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</si>
  <si>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</si>
  <si>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</si>
  <si>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</si>
  <si>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</si>
  <si>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</si>
  <si>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</si>
  <si>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</si>
  <si>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</si>
  <si>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</si>
  <si>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</si>
  <si>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</si>
  <si>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</si>
  <si>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</si>
  <si>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</si>
  <si>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</si>
  <si>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</si>
  <si>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</si>
  <si>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</si>
  <si>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</si>
  <si>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</si>
  <si>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</si>
  <si>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</si>
  <si>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</si>
  <si>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</si>
  <si>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Sofía</t>
  </si>
  <si>
    <t>3 horas</t>
  </si>
  <si>
    <t>REQ002</t>
  </si>
  <si>
    <t>Alexander</t>
  </si>
  <si>
    <t>4 horas</t>
  </si>
  <si>
    <t>REQ003</t>
  </si>
  <si>
    <t>Santiago</t>
  </si>
  <si>
    <t>REQ004</t>
  </si>
  <si>
    <t>Media</t>
  </si>
  <si>
    <t>REQ005</t>
  </si>
  <si>
    <t>REQ006</t>
  </si>
  <si>
    <t>REQ007</t>
  </si>
  <si>
    <t>REQ008</t>
  </si>
  <si>
    <t>Todos</t>
  </si>
  <si>
    <t>Falta de información sobre la vivienda del usuario</t>
  </si>
  <si>
    <t>El programa deberá conocer datos básicos del hogar</t>
  </si>
  <si>
    <t>Recolectar información del usuario</t>
  </si>
  <si>
    <t>1. Preguntar cuántos pisos tiene la casa. 2. Identificar cuántas habitaciones o espacios principales tiene. 3. Registrar en qué lugares existen focos o luces de uso frecuente.</t>
  </si>
  <si>
    <t>Verificar que se haya registrado la información básica de la vivienda.</t>
  </si>
  <si>
    <t>Entrevista inicial al usuario</t>
  </si>
  <si>
    <t>Levantamiento de Información</t>
  </si>
  <si>
    <t>No se conoce dónde ocurre más el problema</t>
  </si>
  <si>
    <t>El programa deberá identificar los espacios donde más se olvidan las luces</t>
  </si>
  <si>
    <t>Determinar zonas de mayor necesidad</t>
  </si>
  <si>
    <t>1. Preguntar en qué lugares se quedan más luces encendidas. 2. Identificar si ocurre más en pasillo, baño, sala, patio o habitaciones. 3. Seleccionar los espacios principales para aplicar el sistema.</t>
  </si>
  <si>
    <t>Comprobar que se hayan definido los lugares donde se aplicará el sistema.</t>
  </si>
  <si>
    <t>Ubicación del problema</t>
  </si>
  <si>
    <t>Identificación de Espacios</t>
  </si>
  <si>
    <t>No se sabe dónde permanece más tiempo el usuario</t>
  </si>
  <si>
    <t>El programa deberá tomar en cuenta el uso diario de los espacios</t>
  </si>
  <si>
    <t>Conocer la rutina del usuario</t>
  </si>
  <si>
    <t>1. Preguntar dónde pasa más tiempo el usuario. 2. Identificar horarios de mayor uso de las luces. 3. Analizar si el sistema conviene más en zonas de paso o permanencia.</t>
  </si>
  <si>
    <t>Verificar que se conozca la rutina básica del usuario en el hogar.</t>
  </si>
  <si>
    <t>Rutina del usuario</t>
  </si>
  <si>
    <t>Análisis de Uso del Hogar</t>
  </si>
  <si>
    <t>Mala ubicación del sensor</t>
  </si>
  <si>
    <t>El programa deberá considerar una ubicación adecuada para el sensor</t>
  </si>
  <si>
    <t>Definir el mejor lugar para instalar el sensor</t>
  </si>
  <si>
    <t>1. Revisar si hay paredes, puertas, muebles o cortinas que bloqueen el sensor. 2. Elegir un punto alto o visible. 3. Definir una ubicación donde detecte correctamente el movimiento.</t>
  </si>
  <si>
    <t>Verificar que el sensor pueda detectar movimiento sin obstáculos.</t>
  </si>
  <si>
    <t>Ubicación del sensor</t>
  </si>
  <si>
    <t>Instalación del Sensor</t>
  </si>
  <si>
    <t>Necesidad de saber cómo funcionará el sistema</t>
  </si>
  <si>
    <t>El programa deberá explicar la lógica básica del proyecto</t>
  </si>
  <si>
    <t>Plantear el funcionamiento automático</t>
  </si>
  <si>
    <t>1. Definir qué pasará cuando una persona entre. 2. Definir qué pasará cuando no haya movimiento. 3. Establecer que la luz se encenderá o apagará según la presencia detectada.</t>
  </si>
  <si>
    <t>Comprobar que la lógica del sistema esté clara antes de programar.</t>
  </si>
  <si>
    <t>Funcionamiento del sistema</t>
  </si>
  <si>
    <t>Lógica de Iluminación</t>
  </si>
  <si>
    <t>Inicio del desarrollo del programa</t>
  </si>
  <si>
    <t>El programa deberá mostrar un menú principal</t>
  </si>
  <si>
    <t>Crear el menú inicial en C</t>
  </si>
  <si>
    <t>Estudiantes / Evaluador</t>
  </si>
  <si>
    <t>1. Crear opciones del menú. 2. Incluir detectar presencia, encender luz, apagar luz, consultar estado y salir. 3. Probar que el menú se muestre correctamente en Code::Blocks.</t>
  </si>
  <si>
    <t>Ejecutar el programa y verificar que aparezcan todas las opciones del menú.</t>
  </si>
  <si>
    <t>Primer avance del código</t>
  </si>
  <si>
    <t>Menú Principal</t>
  </si>
  <si>
    <t>El sistema necesita simular el encendido y apagado</t>
  </si>
  <si>
    <t>El programa deberá controlar el estado de la luz</t>
  </si>
  <si>
    <t>Programar acciones básicas del sistema</t>
  </si>
  <si>
    <t>1. Crear una variable para representar la luz. 2. Cambiar el estado de apagada a encendida. 3. Cambiar el estado de encendida a apagada según la opción elegida.</t>
  </si>
  <si>
    <t>Verificar que la luz cambie de estado dentro del programa.</t>
  </si>
  <si>
    <t>Simulación del sistema</t>
  </si>
  <si>
    <t>Control de Luz</t>
  </si>
  <si>
    <t>Se necesita comprobar si el programa funciona</t>
  </si>
  <si>
    <t>El programa deberá permitir revisar el estado del sistema</t>
  </si>
  <si>
    <t>Validar el funcionamiento del programa</t>
  </si>
  <si>
    <t>1. Consultar si hay presencia detectada. 2. Consultar si la luz está encendida o apagada. 3. Realizar pruebas con varias opciones del menú.</t>
  </si>
  <si>
    <t>Comprobar que el programa muestre correctamente el estado del sistema.</t>
  </si>
  <si>
    <t>Prueba del programa</t>
  </si>
  <si>
    <t>Validación del Sistema</t>
  </si>
  <si>
    <t>Verónica Córdova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</si>
</sst>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0" fontId="0" fillId="3" borderId="5" xfId="0" applyFill="1" applyBorder="1"/>
    <xf numFmtId="0" fontId="9" fillId="5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7" xfId="0" applyFill="1" applyBorder="1"/>
    <xf numFmtId="0" fontId="4" fillId="3" borderId="9" xfId="0" applyFont="1" applyFill="1" applyBorder="1" applyAlignment="1">
      <alignment horizontal="left" vertical="center" wrapText="1"/>
    </xf>
    <xf numFmtId="0" fontId="1" fillId="3" borderId="9" xfId="0" applyFont="1" applyFill="1" applyBorder="1"/>
    <xf numFmtId="0" fontId="0" fillId="3" borderId="9" xfId="0" applyFill="1" applyBorder="1"/>
    <xf numFmtId="0" fontId="0" fillId="3" borderId="8" xfId="0" applyFill="1" applyBorder="1"/>
    <xf numFmtId="0" fontId="0" fillId="3" borderId="11" xfId="0" applyFill="1" applyBorder="1"/>
    <xf numFmtId="0" fontId="0" fillId="3" borderId="12" xfId="0" applyFill="1" applyBorder="1"/>
    <xf numFmtId="0" fontId="14" fillId="0" borderId="0" xfId="0" applyFont="1"/>
    <xf numFmtId="0" fontId="2" fillId="2" borderId="2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15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7" fillId="6" borderId="6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13" xfId="0" applyFont="1" applyBorder="1"/>
    <xf numFmtId="0" fontId="10" fillId="7" borderId="7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20" xfId="0" applyFont="1" applyBorder="1"/>
    <xf numFmtId="0" fontId="6" fillId="0" borderId="22" xfId="0" applyFont="1" applyBorder="1"/>
    <xf numFmtId="0" fontId="7" fillId="4" borderId="7" xfId="0" applyFont="1" applyFill="1" applyBorder="1" applyAlignment="1">
      <alignment horizontal="center" vertical="center"/>
    </xf>
    <xf numFmtId="0" fontId="6" fillId="0" borderId="11" xfId="0" applyFont="1" applyBorder="1"/>
    <xf numFmtId="0" fontId="6" fillId="0" borderId="12" xfId="0" applyFont="1" applyBorder="1"/>
    <xf numFmtId="0" fontId="1" fillId="5" borderId="7" xfId="0" applyFont="1" applyFill="1" applyBorder="1" applyAlignment="1">
      <alignment horizontal="center" vertical="center"/>
    </xf>
    <xf numFmtId="0" fontId="6" fillId="0" borderId="9" xfId="0" applyFont="1" applyBorder="1"/>
    <xf numFmtId="0" fontId="0" fillId="0" borderId="0" xfId="0"/>
    <xf numFmtId="0" fontId="6" fillId="0" borderId="2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  <xf numFmtId="0" fontId="7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14" fontId="0" fillId="0" borderId="23" xfId="0" applyNumberFormat="1" applyBorder="1" applyAlignment="1">
      <alignment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Z998"/>
  <sheetViews>
    <sheetView showGridLines="0" tabSelected="1" topLeftCell="C5" zoomScale="80" zoomScaleNormal="80" workbookViewId="0">
      <selection activeCell="J13" sqref="J13"/>
    </sheetView>
  </sheetViews>
  <sheetFormatPr baseColWidth="10" defaultColWidth="12.59765625" defaultRowHeight="15" customHeight="1" x14ac:dyDescent="0.25"/>
  <cols>
    <col min="1" max="1" width="4.59765625" customWidth="1"/>
    <col min="2" max="2" width="8.09765625" customWidth="1"/>
    <col min="3" max="5" width="20.59765625" customWidth="1"/>
    <col min="6" max="6" width="10.59765625" customWidth="1"/>
    <col min="7" max="7" width="32.5" customWidth="1"/>
    <col min="8" max="12" width="10.59765625" customWidth="1"/>
    <col min="13" max="13" width="32.5" customWidth="1"/>
    <col min="14" max="15" width="20.59765625" customWidth="1"/>
    <col min="16" max="26" width="9.19921875" customWidth="1"/>
  </cols>
  <sheetData>
    <row r="1" spans="1:26" ht="14.4" x14ac:dyDescent="0.3">
      <c r="I1" s="1"/>
      <c r="J1" s="1"/>
      <c r="K1" s="2"/>
      <c r="L1" s="3"/>
    </row>
    <row r="2" spans="1:26" ht="14.4" x14ac:dyDescent="0.3">
      <c r="I2" s="1"/>
      <c r="J2" s="1"/>
      <c r="K2" s="2"/>
      <c r="L2" s="3"/>
    </row>
    <row r="3" spans="1:26" ht="45" customHeight="1" x14ac:dyDescent="0.25">
      <c r="B3" s="32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26" ht="5.25" customHeight="1" x14ac:dyDescent="0.3">
      <c r="H4" s="4"/>
      <c r="I4" s="1"/>
      <c r="J4" s="1"/>
      <c r="K4" s="2"/>
      <c r="L4" s="3"/>
    </row>
    <row r="5" spans="1:26" ht="78.75" customHeight="1" x14ac:dyDescent="0.25">
      <c r="B5" s="28" t="s">
        <v>1</v>
      </c>
      <c r="C5" s="28" t="s">
        <v>2</v>
      </c>
      <c r="D5" s="29" t="s">
        <v>3</v>
      </c>
      <c r="E5" s="28" t="s">
        <v>4</v>
      </c>
      <c r="F5" s="28" t="s">
        <v>5</v>
      </c>
      <c r="G5" s="28" t="s">
        <v>6</v>
      </c>
      <c r="H5" s="28" t="s">
        <v>7</v>
      </c>
      <c r="I5" s="28" t="s">
        <v>8</v>
      </c>
      <c r="J5" s="28" t="s">
        <v>9</v>
      </c>
      <c r="K5" s="28" t="s">
        <v>10</v>
      </c>
      <c r="L5" s="28" t="s">
        <v>11</v>
      </c>
      <c r="M5" s="28" t="s">
        <v>12</v>
      </c>
      <c r="N5" s="28" t="s">
        <v>13</v>
      </c>
      <c r="O5" s="28" t="s">
        <v>14</v>
      </c>
    </row>
    <row r="6" spans="1:26" ht="103.5" customHeight="1" x14ac:dyDescent="0.25">
      <c r="B6" s="30" t="s">
        <v>15</v>
      </c>
      <c r="C6" s="30" t="s">
        <v>41</v>
      </c>
      <c r="D6" s="30" t="s">
        <v>42</v>
      </c>
      <c r="E6" s="30" t="s">
        <v>43</v>
      </c>
      <c r="F6" s="30" t="s">
        <v>98</v>
      </c>
      <c r="G6" s="30" t="s">
        <v>44</v>
      </c>
      <c r="H6" s="30" t="s">
        <v>27</v>
      </c>
      <c r="I6" s="30" t="s">
        <v>28</v>
      </c>
      <c r="J6" s="60">
        <v>46191</v>
      </c>
      <c r="K6" s="30" t="s">
        <v>16</v>
      </c>
      <c r="L6" s="30" t="s">
        <v>17</v>
      </c>
      <c r="M6" s="30" t="s">
        <v>45</v>
      </c>
      <c r="N6" s="30" t="s">
        <v>46</v>
      </c>
      <c r="O6" s="30" t="s">
        <v>47</v>
      </c>
    </row>
    <row r="7" spans="1:26" ht="99.75" customHeight="1" x14ac:dyDescent="0.25">
      <c r="A7" s="5"/>
      <c r="B7" s="30" t="s">
        <v>29</v>
      </c>
      <c r="C7" s="30" t="s">
        <v>48</v>
      </c>
      <c r="D7" s="30" t="s">
        <v>49</v>
      </c>
      <c r="E7" s="30" t="s">
        <v>50</v>
      </c>
      <c r="F7" s="30" t="s">
        <v>98</v>
      </c>
      <c r="G7" s="30" t="s">
        <v>51</v>
      </c>
      <c r="H7" s="30" t="s">
        <v>30</v>
      </c>
      <c r="I7" s="30" t="s">
        <v>28</v>
      </c>
      <c r="J7" s="60">
        <v>46191</v>
      </c>
      <c r="K7" s="30" t="s">
        <v>16</v>
      </c>
      <c r="L7" s="30" t="s">
        <v>17</v>
      </c>
      <c r="M7" s="30" t="s">
        <v>52</v>
      </c>
      <c r="N7" s="30" t="s">
        <v>53</v>
      </c>
      <c r="O7" s="30" t="s">
        <v>54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78" customHeight="1" x14ac:dyDescent="0.25">
      <c r="B8" s="30" t="s">
        <v>32</v>
      </c>
      <c r="C8" s="30" t="s">
        <v>55</v>
      </c>
      <c r="D8" s="30" t="s">
        <v>56</v>
      </c>
      <c r="E8" s="30" t="s">
        <v>57</v>
      </c>
      <c r="F8" s="30" t="s">
        <v>98</v>
      </c>
      <c r="G8" s="30" t="s">
        <v>58</v>
      </c>
      <c r="H8" s="30" t="s">
        <v>33</v>
      </c>
      <c r="I8" s="30" t="s">
        <v>28</v>
      </c>
      <c r="J8" s="60">
        <v>46191</v>
      </c>
      <c r="K8" s="30" t="s">
        <v>35</v>
      </c>
      <c r="L8" s="30" t="s">
        <v>17</v>
      </c>
      <c r="M8" s="30" t="s">
        <v>59</v>
      </c>
      <c r="N8" s="30" t="s">
        <v>60</v>
      </c>
      <c r="O8" s="30" t="s">
        <v>61</v>
      </c>
    </row>
    <row r="9" spans="1:26" ht="78" customHeight="1" x14ac:dyDescent="0.25">
      <c r="B9" s="30" t="s">
        <v>34</v>
      </c>
      <c r="C9" s="30" t="s">
        <v>62</v>
      </c>
      <c r="D9" s="30" t="s">
        <v>63</v>
      </c>
      <c r="E9" s="30" t="s">
        <v>64</v>
      </c>
      <c r="F9" s="30" t="s">
        <v>98</v>
      </c>
      <c r="G9" s="30" t="s">
        <v>65</v>
      </c>
      <c r="H9" s="30" t="s">
        <v>27</v>
      </c>
      <c r="I9" s="30" t="s">
        <v>31</v>
      </c>
      <c r="J9" s="60">
        <v>46191</v>
      </c>
      <c r="K9" s="30" t="s">
        <v>16</v>
      </c>
      <c r="L9" s="30" t="s">
        <v>17</v>
      </c>
      <c r="M9" s="30" t="s">
        <v>66</v>
      </c>
      <c r="N9" s="30" t="s">
        <v>67</v>
      </c>
      <c r="O9" s="30" t="s">
        <v>68</v>
      </c>
    </row>
    <row r="10" spans="1:26" ht="66" customHeight="1" x14ac:dyDescent="0.25">
      <c r="B10" s="30" t="s">
        <v>36</v>
      </c>
      <c r="C10" s="30" t="s">
        <v>69</v>
      </c>
      <c r="D10" s="30" t="s">
        <v>70</v>
      </c>
      <c r="E10" s="30" t="s">
        <v>71</v>
      </c>
      <c r="F10" s="30" t="s">
        <v>98</v>
      </c>
      <c r="G10" s="30" t="s">
        <v>72</v>
      </c>
      <c r="H10" s="30" t="s">
        <v>30</v>
      </c>
      <c r="I10" s="30" t="s">
        <v>31</v>
      </c>
      <c r="J10" s="60">
        <v>46191</v>
      </c>
      <c r="K10" s="30" t="s">
        <v>16</v>
      </c>
      <c r="L10" s="30" t="s">
        <v>17</v>
      </c>
      <c r="M10" s="30" t="s">
        <v>73</v>
      </c>
      <c r="N10" s="30" t="s">
        <v>74</v>
      </c>
      <c r="O10" s="30" t="s">
        <v>75</v>
      </c>
      <c r="P10" s="27"/>
    </row>
    <row r="11" spans="1:26" ht="99.75" customHeight="1" x14ac:dyDescent="0.25">
      <c r="B11" s="30" t="s">
        <v>37</v>
      </c>
      <c r="C11" s="30" t="s">
        <v>76</v>
      </c>
      <c r="D11" s="30" t="s">
        <v>77</v>
      </c>
      <c r="E11" s="30" t="s">
        <v>78</v>
      </c>
      <c r="F11" s="30" t="s">
        <v>79</v>
      </c>
      <c r="G11" s="30" t="s">
        <v>80</v>
      </c>
      <c r="H11" s="30" t="s">
        <v>33</v>
      </c>
      <c r="I11" s="30" t="s">
        <v>28</v>
      </c>
      <c r="J11" s="60">
        <v>46191</v>
      </c>
      <c r="K11" s="30" t="s">
        <v>16</v>
      </c>
      <c r="L11" s="30" t="s">
        <v>17</v>
      </c>
      <c r="M11" s="30" t="s">
        <v>81</v>
      </c>
      <c r="N11" s="30" t="s">
        <v>82</v>
      </c>
      <c r="O11" s="30" t="s">
        <v>83</v>
      </c>
    </row>
    <row r="12" spans="1:26" ht="72" customHeight="1" x14ac:dyDescent="0.25">
      <c r="B12" s="30" t="s">
        <v>38</v>
      </c>
      <c r="C12" s="30" t="s">
        <v>84</v>
      </c>
      <c r="D12" s="30" t="s">
        <v>85</v>
      </c>
      <c r="E12" s="30" t="s">
        <v>86</v>
      </c>
      <c r="F12" s="30" t="s">
        <v>79</v>
      </c>
      <c r="G12" s="30" t="s">
        <v>87</v>
      </c>
      <c r="H12" s="30" t="s">
        <v>27</v>
      </c>
      <c r="I12" s="30" t="s">
        <v>31</v>
      </c>
      <c r="J12" s="60">
        <v>46191</v>
      </c>
      <c r="K12" s="30" t="s">
        <v>16</v>
      </c>
      <c r="L12" s="30" t="s">
        <v>17</v>
      </c>
      <c r="M12" s="30" t="s">
        <v>88</v>
      </c>
      <c r="N12" s="30" t="s">
        <v>89</v>
      </c>
      <c r="O12" s="30" t="s">
        <v>90</v>
      </c>
    </row>
    <row r="13" spans="1:26" ht="65.25" customHeight="1" x14ac:dyDescent="0.25">
      <c r="B13" s="30" t="s">
        <v>39</v>
      </c>
      <c r="C13" s="30" t="s">
        <v>91</v>
      </c>
      <c r="D13" s="30" t="s">
        <v>92</v>
      </c>
      <c r="E13" s="30" t="s">
        <v>93</v>
      </c>
      <c r="F13" s="30" t="s">
        <v>79</v>
      </c>
      <c r="G13" s="30" t="s">
        <v>94</v>
      </c>
      <c r="H13" s="30" t="s">
        <v>40</v>
      </c>
      <c r="I13" s="30" t="s">
        <v>31</v>
      </c>
      <c r="J13" s="60">
        <v>46191</v>
      </c>
      <c r="K13" s="30" t="s">
        <v>35</v>
      </c>
      <c r="L13" s="30" t="s">
        <v>17</v>
      </c>
      <c r="M13" s="30" t="s">
        <v>95</v>
      </c>
      <c r="N13" s="30" t="s">
        <v>96</v>
      </c>
      <c r="O13" s="30" t="s">
        <v>97</v>
      </c>
    </row>
    <row r="14" spans="1:26" ht="64.5" customHeight="1" x14ac:dyDescent="0.25"/>
    <row r="15" spans="1:26" ht="39.75" customHeight="1" x14ac:dyDescent="0.25"/>
    <row r="16" spans="1:26" ht="39.75" customHeight="1" x14ac:dyDescent="0.25"/>
    <row r="17" spans="2:12" ht="39.75" customHeight="1" x14ac:dyDescent="0.25"/>
    <row r="18" spans="2:12" ht="19.2" customHeight="1" x14ac:dyDescent="0.25">
      <c r="B18" s="31"/>
    </row>
    <row r="19" spans="2:12" ht="19.5" customHeight="1" x14ac:dyDescent="0.25">
      <c r="B19" s="31"/>
    </row>
    <row r="20" spans="2:12" ht="19.5" customHeight="1" x14ac:dyDescent="0.25"/>
    <row r="21" spans="2:12" ht="19.5" customHeight="1" x14ac:dyDescent="0.25"/>
    <row r="22" spans="2:12" ht="19.5" customHeight="1" x14ac:dyDescent="0.3">
      <c r="I22" s="1"/>
      <c r="J22" s="1"/>
      <c r="K22" s="2"/>
      <c r="L22" s="3"/>
    </row>
    <row r="23" spans="2:12" ht="19.5" customHeight="1" x14ac:dyDescent="0.3">
      <c r="I23" s="1"/>
      <c r="J23" s="1"/>
      <c r="K23" s="2"/>
      <c r="L23" s="3"/>
    </row>
    <row r="24" spans="2:12" ht="19.5" customHeight="1" x14ac:dyDescent="0.3">
      <c r="I24" s="1"/>
      <c r="J24" s="1"/>
      <c r="K24" s="2"/>
      <c r="L24" s="3"/>
    </row>
    <row r="25" spans="2:12" ht="19.5" customHeight="1" x14ac:dyDescent="0.3">
      <c r="I25" s="1"/>
      <c r="J25" s="1"/>
      <c r="K25" s="2"/>
      <c r="L25" s="3"/>
    </row>
    <row r="26" spans="2:12" ht="19.5" customHeight="1" x14ac:dyDescent="0.3">
      <c r="I26" s="1"/>
      <c r="J26" s="1"/>
      <c r="K26" s="2"/>
      <c r="L26" s="3"/>
    </row>
    <row r="27" spans="2:12" ht="19.5" customHeight="1" x14ac:dyDescent="0.3">
      <c r="I27" s="1"/>
      <c r="J27" s="1"/>
      <c r="K27" s="2"/>
      <c r="L27" s="3"/>
    </row>
    <row r="28" spans="2:12" ht="19.5" customHeight="1" x14ac:dyDescent="0.3">
      <c r="I28" s="1"/>
      <c r="J28" s="1"/>
      <c r="K28" s="2"/>
      <c r="L28" s="3"/>
    </row>
    <row r="29" spans="2:12" ht="19.5" customHeight="1" x14ac:dyDescent="0.3">
      <c r="I29" s="1"/>
      <c r="J29" s="1"/>
      <c r="K29" s="2"/>
      <c r="L29" s="3"/>
    </row>
    <row r="30" spans="2:12" ht="19.5" customHeight="1" x14ac:dyDescent="0.3">
      <c r="I30" s="1"/>
      <c r="J30" s="1"/>
      <c r="K30" s="2"/>
      <c r="L30" s="3"/>
    </row>
    <row r="31" spans="2:12" ht="19.5" customHeight="1" x14ac:dyDescent="0.3">
      <c r="I31" s="1"/>
      <c r="J31" s="1"/>
      <c r="K31" s="2"/>
      <c r="L31" s="3"/>
    </row>
    <row r="32" spans="2:12" ht="19.5" customHeight="1" x14ac:dyDescent="0.3">
      <c r="I32" s="1"/>
      <c r="J32" s="1"/>
      <c r="K32" s="2"/>
      <c r="L32" s="3"/>
    </row>
    <row r="33" spans="9:12" ht="15.7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25">
      <c r="I988" s="3"/>
      <c r="J988" s="3"/>
      <c r="K988" s="6"/>
      <c r="L988" s="3"/>
    </row>
    <row r="989" spans="9:12" ht="15.75" customHeight="1" x14ac:dyDescent="0.25">
      <c r="I989" s="3"/>
      <c r="J989" s="3"/>
      <c r="K989" s="6"/>
      <c r="L989" s="3"/>
    </row>
    <row r="990" spans="9:12" ht="15.75" customHeight="1" x14ac:dyDescent="0.25"/>
    <row r="991" spans="9:12" ht="15.75" customHeight="1" x14ac:dyDescent="0.25"/>
    <row r="992" spans="9:1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B3:O3"/>
  </mergeCells>
  <phoneticPr fontId="11" type="noConversion"/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E22" sqref="E22:H24"/>
    </sheetView>
  </sheetViews>
  <sheetFormatPr baseColWidth="10" defaultColWidth="12.59765625" defaultRowHeight="15" customHeight="1" x14ac:dyDescent="0.25"/>
  <cols>
    <col min="1" max="1" width="9.19921875" customWidth="1"/>
    <col min="2" max="2" width="2.59765625" customWidth="1"/>
    <col min="3" max="15" width="10.59765625" customWidth="1"/>
    <col min="16" max="16" width="2.59765625" customWidth="1"/>
    <col min="17" max="26" width="9.19921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7"/>
      <c r="D4" s="7"/>
      <c r="E4" s="7"/>
      <c r="F4" s="4"/>
    </row>
    <row r="5" spans="2:16" ht="14.4" hidden="1" x14ac:dyDescent="0.3">
      <c r="C5" s="7"/>
      <c r="D5" s="7"/>
      <c r="E5" s="7"/>
      <c r="F5" s="4"/>
    </row>
    <row r="6" spans="2:16" ht="39.75" customHeight="1" x14ac:dyDescent="0.25">
      <c r="B6" s="48" t="s">
        <v>18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50"/>
    </row>
    <row r="7" spans="2:16" ht="9.75" customHeight="1" x14ac:dyDescent="0.25"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2:16" ht="9.75" customHeight="1" x14ac:dyDescent="0.3">
      <c r="B8" s="20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3"/>
      <c r="P8" s="24"/>
    </row>
    <row r="9" spans="2:16" ht="30" customHeight="1" x14ac:dyDescent="0.25">
      <c r="B9" s="25"/>
      <c r="C9" s="9" t="s">
        <v>1</v>
      </c>
      <c r="D9" s="10"/>
      <c r="E9" s="51" t="s">
        <v>19</v>
      </c>
      <c r="F9" s="50"/>
      <c r="G9" s="10"/>
      <c r="H9" s="51" t="s">
        <v>11</v>
      </c>
      <c r="I9" s="50"/>
      <c r="J9" s="11"/>
      <c r="K9" s="11"/>
      <c r="L9" s="11"/>
      <c r="M9" s="11"/>
      <c r="N9" s="11"/>
      <c r="O9" s="11"/>
      <c r="P9" s="26"/>
    </row>
    <row r="10" spans="2:16" ht="30" customHeight="1" x14ac:dyDescent="0.25">
      <c r="B10" s="25"/>
      <c r="C10" s="12" t="s">
        <v>36</v>
      </c>
      <c r="D10" s="13"/>
      <c r="E10" s="52" t="str">
        <f>VLOOKUP(C10,'Formato descripción HU'!B6:O14,5,0)</f>
        <v>Verónica Córdova</v>
      </c>
      <c r="F10" s="50"/>
      <c r="G10" s="14"/>
      <c r="H10" s="52" t="str">
        <f>VLOOKUP(C10,'Formato descripción HU'!B6:O14,11,0)</f>
        <v>No iniciado</v>
      </c>
      <c r="I10" s="50"/>
      <c r="J10" s="14"/>
      <c r="K10" s="11"/>
      <c r="L10" s="11"/>
      <c r="M10" s="11"/>
      <c r="N10" s="11"/>
      <c r="O10" s="11"/>
      <c r="P10" s="26"/>
    </row>
    <row r="11" spans="2:16" ht="9.75" customHeight="1" x14ac:dyDescent="0.25">
      <c r="B11" s="25"/>
      <c r="C11" s="15"/>
      <c r="D11" s="13"/>
      <c r="E11" s="16"/>
      <c r="F11" s="16"/>
      <c r="G11" s="14"/>
      <c r="H11" s="16"/>
      <c r="I11" s="16"/>
      <c r="J11" s="14"/>
      <c r="K11" s="16"/>
      <c r="L11" s="16"/>
      <c r="M11" s="11"/>
      <c r="N11" s="16"/>
      <c r="O11" s="16"/>
      <c r="P11" s="26"/>
    </row>
    <row r="12" spans="2:16" ht="30" customHeight="1" x14ac:dyDescent="0.25">
      <c r="B12" s="25"/>
      <c r="C12" s="9" t="s">
        <v>20</v>
      </c>
      <c r="D12" s="13"/>
      <c r="E12" s="51" t="s">
        <v>10</v>
      </c>
      <c r="F12" s="50"/>
      <c r="G12" s="14"/>
      <c r="H12" s="51" t="s">
        <v>21</v>
      </c>
      <c r="I12" s="50"/>
      <c r="J12" s="14"/>
      <c r="K12" s="16"/>
      <c r="L12" s="16"/>
      <c r="M12" s="11"/>
      <c r="N12" s="16"/>
      <c r="O12" s="16"/>
      <c r="P12" s="26"/>
    </row>
    <row r="13" spans="2:16" ht="30" customHeight="1" x14ac:dyDescent="0.25">
      <c r="B13" s="25"/>
      <c r="C13" s="12" t="str">
        <f>VLOOKUP('Historia de Usuario'!C10,'Formato descripción HU'!B6:O14,8,0)</f>
        <v>4 horas</v>
      </c>
      <c r="D13" s="13"/>
      <c r="E13" s="52" t="str">
        <f>VLOOKUP(C10,'Formato descripción HU'!B6:O14,10,0)</f>
        <v>Alta</v>
      </c>
      <c r="F13" s="50"/>
      <c r="G13" s="14"/>
      <c r="H13" s="52" t="str">
        <f>VLOOKUP(C10,'Formato descripción HU'!B6:O14,7,0)</f>
        <v>Alexander</v>
      </c>
      <c r="I13" s="50"/>
      <c r="J13" s="14"/>
      <c r="K13" s="16"/>
      <c r="L13" s="16"/>
      <c r="M13" s="11"/>
      <c r="N13" s="16"/>
      <c r="O13" s="16"/>
      <c r="P13" s="26"/>
    </row>
    <row r="14" spans="2:16" ht="9.75" customHeight="1" x14ac:dyDescent="0.25">
      <c r="B14" s="25"/>
      <c r="C14" s="11"/>
      <c r="D14" s="13"/>
      <c r="E14" s="11"/>
      <c r="F14" s="11"/>
      <c r="G14" s="14"/>
      <c r="H14" s="14"/>
      <c r="I14" s="11"/>
      <c r="J14" s="11"/>
      <c r="K14" s="11"/>
      <c r="L14" s="11"/>
      <c r="M14" s="11"/>
      <c r="N14" s="11"/>
      <c r="O14" s="11"/>
      <c r="P14" s="26"/>
    </row>
    <row r="15" spans="2:16" ht="19.5" customHeight="1" x14ac:dyDescent="0.25">
      <c r="B15" s="25"/>
      <c r="C15" s="34" t="s">
        <v>22</v>
      </c>
      <c r="D15" s="53" t="str">
        <f>VLOOKUP(C10,'Formato descripción HU'!B6:O14,3,0)</f>
        <v>El programa deberá explicar la lógica básica del proyecto</v>
      </c>
      <c r="E15" s="38"/>
      <c r="F15" s="11"/>
      <c r="G15" s="34" t="s">
        <v>23</v>
      </c>
      <c r="H15" s="53" t="str">
        <f>VLOOKUP(C10,'Formato descripción HU'!B6:O14,4,0)</f>
        <v>Plantear el funcionamiento automático</v>
      </c>
      <c r="I15" s="45"/>
      <c r="J15" s="38"/>
      <c r="K15" s="11"/>
      <c r="L15" s="34" t="s">
        <v>24</v>
      </c>
      <c r="M15" s="44" t="str">
        <f>VLOOKUP(C10,'Formato descripción HU'!B6:O14,6,0)</f>
        <v>1. Definir qué pasará cuando una persona entre. 2. Definir qué pasará cuando no haya movimiento. 3. Establecer que la luz se encenderá o apagará según la presencia detectada.</v>
      </c>
      <c r="N15" s="45"/>
      <c r="O15" s="38"/>
      <c r="P15" s="26"/>
    </row>
    <row r="16" spans="2:16" ht="19.5" customHeight="1" x14ac:dyDescent="0.25">
      <c r="B16" s="25"/>
      <c r="C16" s="35"/>
      <c r="D16" s="42"/>
      <c r="E16" s="43"/>
      <c r="F16" s="11"/>
      <c r="G16" s="35"/>
      <c r="H16" s="42"/>
      <c r="I16" s="46"/>
      <c r="J16" s="43"/>
      <c r="K16" s="11"/>
      <c r="L16" s="35"/>
      <c r="M16" s="42"/>
      <c r="N16" s="46"/>
      <c r="O16" s="43"/>
      <c r="P16" s="26"/>
    </row>
    <row r="17" spans="2:16" ht="19.5" customHeight="1" x14ac:dyDescent="0.25">
      <c r="B17" s="25"/>
      <c r="C17" s="36"/>
      <c r="D17" s="39"/>
      <c r="E17" s="40"/>
      <c r="F17" s="11"/>
      <c r="G17" s="36"/>
      <c r="H17" s="39"/>
      <c r="I17" s="47"/>
      <c r="J17" s="40"/>
      <c r="K17" s="11"/>
      <c r="L17" s="36"/>
      <c r="M17" s="39"/>
      <c r="N17" s="47"/>
      <c r="O17" s="40"/>
      <c r="P17" s="26"/>
    </row>
    <row r="18" spans="2:16" ht="9.75" customHeight="1" x14ac:dyDescent="0.25">
      <c r="B18" s="25"/>
      <c r="C18" s="11"/>
      <c r="D18" s="11"/>
      <c r="E18" s="11"/>
      <c r="F18" s="11"/>
      <c r="G18" s="14"/>
      <c r="H18" s="14"/>
      <c r="I18" s="14"/>
      <c r="J18" s="11"/>
      <c r="K18" s="11"/>
      <c r="L18" s="11"/>
      <c r="M18" s="11"/>
      <c r="N18" s="11"/>
      <c r="O18" s="11"/>
      <c r="P18" s="26"/>
    </row>
    <row r="19" spans="2:16" ht="19.5" customHeight="1" x14ac:dyDescent="0.25">
      <c r="B19" s="25"/>
      <c r="C19" s="37" t="s">
        <v>25</v>
      </c>
      <c r="D19" s="38"/>
      <c r="E19" s="54" t="str">
        <f>VLOOKUP(C10,'Formato descripción HU'!B6:O14,14,0)</f>
        <v>Lógica de Iluminación</v>
      </c>
      <c r="F19" s="55"/>
      <c r="G19" s="55"/>
      <c r="H19" s="55"/>
      <c r="I19" s="55"/>
      <c r="J19" s="55"/>
      <c r="K19" s="55"/>
      <c r="L19" s="55"/>
      <c r="M19" s="55"/>
      <c r="N19" s="55"/>
      <c r="O19" s="56"/>
      <c r="P19" s="26"/>
    </row>
    <row r="20" spans="2:16" ht="19.5" customHeight="1" x14ac:dyDescent="0.25">
      <c r="B20" s="25"/>
      <c r="C20" s="39"/>
      <c r="D20" s="40"/>
      <c r="E20" s="57"/>
      <c r="F20" s="58"/>
      <c r="G20" s="58"/>
      <c r="H20" s="58"/>
      <c r="I20" s="58"/>
      <c r="J20" s="58"/>
      <c r="K20" s="58"/>
      <c r="L20" s="58"/>
      <c r="M20" s="58"/>
      <c r="N20" s="58"/>
      <c r="O20" s="59"/>
      <c r="P20" s="26"/>
    </row>
    <row r="21" spans="2:16" ht="9.75" customHeight="1" x14ac:dyDescent="0.25">
      <c r="B21" s="25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26"/>
    </row>
    <row r="22" spans="2:16" ht="19.5" customHeight="1" x14ac:dyDescent="0.25">
      <c r="B22" s="25"/>
      <c r="C22" s="41" t="s">
        <v>26</v>
      </c>
      <c r="D22" s="38"/>
      <c r="E22" s="44" t="str">
        <f>VLOOKUP(C10,'Formato descripción HU'!B6:O14,12,0)</f>
        <v>Comprobar que la lógica del sistema esté clara antes de programar.</v>
      </c>
      <c r="F22" s="45"/>
      <c r="G22" s="45"/>
      <c r="H22" s="38"/>
      <c r="I22" s="11"/>
      <c r="J22" s="41" t="s">
        <v>13</v>
      </c>
      <c r="K22" s="38"/>
      <c r="L22" s="44" t="str">
        <f>VLOOKUP(C10,'Formato descripción HU'!B6:O14,13,0)</f>
        <v>Funcionamiento del sistema</v>
      </c>
      <c r="M22" s="45"/>
      <c r="N22" s="45"/>
      <c r="O22" s="38"/>
      <c r="P22" s="26"/>
    </row>
    <row r="23" spans="2:16" ht="19.5" customHeight="1" x14ac:dyDescent="0.25">
      <c r="B23" s="25"/>
      <c r="C23" s="42"/>
      <c r="D23" s="43"/>
      <c r="E23" s="42"/>
      <c r="F23" s="46"/>
      <c r="G23" s="46"/>
      <c r="H23" s="43"/>
      <c r="I23" s="11"/>
      <c r="J23" s="42"/>
      <c r="K23" s="43"/>
      <c r="L23" s="42"/>
      <c r="M23" s="46"/>
      <c r="N23" s="46"/>
      <c r="O23" s="43"/>
      <c r="P23" s="26"/>
    </row>
    <row r="24" spans="2:16" ht="19.5" customHeight="1" x14ac:dyDescent="0.25">
      <c r="B24" s="25"/>
      <c r="C24" s="39"/>
      <c r="D24" s="40"/>
      <c r="E24" s="39"/>
      <c r="F24" s="47"/>
      <c r="G24" s="47"/>
      <c r="H24" s="40"/>
      <c r="I24" s="11"/>
      <c r="J24" s="39"/>
      <c r="K24" s="40"/>
      <c r="L24" s="39"/>
      <c r="M24" s="47"/>
      <c r="N24" s="47"/>
      <c r="O24" s="40"/>
      <c r="P24" s="26"/>
    </row>
    <row r="25" spans="2:16" ht="9.75" customHeight="1" x14ac:dyDescent="0.25"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9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SOFIA FIGUEROA</cp:lastModifiedBy>
  <cp:revision/>
  <dcterms:created xsi:type="dcterms:W3CDTF">2019-10-21T15:37:14Z</dcterms:created>
  <dcterms:modified xsi:type="dcterms:W3CDTF">2026-06-19T14:15:43Z</dcterms:modified>
  <cp:category/>
  <cp:contentStatus/>
</cp:coreProperties>
</file>