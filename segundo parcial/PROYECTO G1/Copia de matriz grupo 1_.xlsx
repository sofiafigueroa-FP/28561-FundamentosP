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8870BA40-A457-4409-A43E-064EF4E70C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j/6vPIviJPFrN6TLB5bKIb/0uhzg=="/>
    </ext>
  </extLst>
</workbook>
</file>

<file path=xl/calcChain.xml><?xml version="1.0" encoding="utf-8"?>
<calcChain xmlns="http://schemas.openxmlformats.org/spreadsheetml/2006/main">
  <c r="M15" i="2" l="1"/>
  <c r="L22" i="2"/>
  <c r="E22" i="2"/>
  <c r="E19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<sst xmlns="http://schemas.openxmlformats.org/spreadsheetml/2006/main" count="140" uniqueCount="107">
  <si>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</si>
  <si>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</si>
  <si>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</si>
  <si>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</si>
  <si>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</si>
  <si>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</si>
  <si>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</si>
  <si>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</si>
  <si>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</si>
  <si>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</si>
  <si>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</si>
  <si>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</si>
  <si>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</si>
  <si>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</si>
  <si>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</si>
  <si>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</si>
  <si>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 xml:space="preserve">Media </t>
  </si>
  <si>
    <t>Terminado</t>
  </si>
  <si>
    <t>Alta</t>
  </si>
  <si>
    <t>No iniciado</t>
  </si>
  <si>
    <t>En proceso</t>
  </si>
  <si>
    <t>Baja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</si>
  <si>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</si>
  <si>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</si>
  <si>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</si>
  <si>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</si>
  <si>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</si>
  <si>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</si>
  <si>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</si>
  <si>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</si>
  <si>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</si>
  <si>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</si>
  <si>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Luces encendidas sin necesidad</t>
  </si>
  <si>
    <t>Detectar presencia de personas</t>
  </si>
  <si>
    <t>Usuario del hogar</t>
  </si>
  <si>
    <t>1. Identificar el espacio donde se aplicará. 2. Revisar dónde colocar el sensor. 3. Probar la detección de movimiento.</t>
  </si>
  <si>
    <t>Sofía</t>
  </si>
  <si>
    <t>3 horas</t>
  </si>
  <si>
    <t>Verificar que el sensor detecte movimiento correctamente.</t>
  </si>
  <si>
    <t>Sensor de movimiento</t>
  </si>
  <si>
    <t>Detección de Presencia</t>
  </si>
  <si>
    <t>REQ002</t>
  </si>
  <si>
    <t>Olvido al apagar las luces</t>
  </si>
  <si>
    <t>Programar apagado automático</t>
  </si>
  <si>
    <t>1. Crear la condición en el programa. 2. Verificar si no hay movimiento. 3. Apagar la luz después de un tiempo determinado.</t>
  </si>
  <si>
    <t>Alexander</t>
  </si>
  <si>
    <t>4 horas</t>
  </si>
  <si>
    <t>Comprobar que la luz se apague cuando no haya nadie.</t>
  </si>
  <si>
    <t>Apagado automático</t>
  </si>
  <si>
    <t>Apagado Automático de Luz</t>
  </si>
  <si>
    <t>REQ003</t>
  </si>
  <si>
    <t>Encender la luz manualmente en la oscuridad</t>
  </si>
  <si>
    <t>Encender la luz automáticamente</t>
  </si>
  <si>
    <t>1. Detectar movimiento. 2. Enviar la señal al controlador. 3. Encender la luz de prueba.</t>
  </si>
  <si>
    <t>Santiago</t>
  </si>
  <si>
    <t>Verificar que la luz se encienda al pasar una persona.</t>
  </si>
  <si>
    <t>Encendido automático</t>
  </si>
  <si>
    <t>Encendido Automático de Luz</t>
  </si>
  <si>
    <t>REQ004</t>
  </si>
  <si>
    <t>Falta de control en el consumo eléctrico</t>
  </si>
  <si>
    <t>Controlar el uso de la iluminación</t>
  </si>
  <si>
    <t>1. Programar las condiciones. 2. Probar el encendido y apagado. 3. Ajustar el tiempo de espera.</t>
  </si>
  <si>
    <t>Media</t>
  </si>
  <si>
    <t>Revisar que la luz no quede prendida sin necesidad.</t>
  </si>
  <si>
    <t>Control de iluminación</t>
  </si>
  <si>
    <t>Control de Iluminación</t>
  </si>
  <si>
    <t>REQ005</t>
  </si>
  <si>
    <t>Necesidad de un prototipo sencillo</t>
  </si>
  <si>
    <t>Armar prototipo con Arduino</t>
  </si>
  <si>
    <t>Estudiante / Evaluador</t>
  </si>
  <si>
    <t>1. Conectar Arduino. 2. Conectar sensor y luz. 3. Revisar el circuito completo. 4. Realizar pruebas generales.</t>
  </si>
  <si>
    <t>5 horas</t>
  </si>
  <si>
    <t>Comprobar que todos los componentes funcionen correctamente.</t>
  </si>
  <si>
    <t>Prototipo del sistema</t>
  </si>
  <si>
    <t>Prototipo del Sistema</t>
  </si>
  <si>
    <t>REQ006</t>
  </si>
  <si>
    <t>Posibles errores en la programación</t>
  </si>
  <si>
    <t>Revisar el código del proyecto</t>
  </si>
  <si>
    <t>Estudiantes</t>
  </si>
  <si>
    <t>1. Escribir el código. 2. Verificar las condiciones. 3. Corregir errores si la luz no responde bien.</t>
  </si>
  <si>
    <t>Ejecutar el programa y validar el resultado.</t>
  </si>
  <si>
    <t>Prueba de programación</t>
  </si>
  <si>
    <t>Validación del Código</t>
  </si>
  <si>
    <t>REQ007</t>
  </si>
  <si>
    <t>No saber si el sistema sirve en casa</t>
  </si>
  <si>
    <t>Probar en un espacio de ejemplo</t>
  </si>
  <si>
    <t>1. Simular un pasillo, baño o habitación. 2. Pasar frente al sensor. 3. Observar el encendido y apagado. 4. Registrar resultados.</t>
  </si>
  <si>
    <t>Verificar que funcione en una situación parecida a la real.</t>
  </si>
  <si>
    <t>Prueba en espacio común</t>
  </si>
  <si>
    <t>Prueba en Espacio Común</t>
  </si>
  <si>
    <t>REQ008</t>
  </si>
  <si>
    <t>Falta de explicación del funcionamiento</t>
  </si>
  <si>
    <t>Explicar el proceso del sistema</t>
  </si>
  <si>
    <t>Evaluador / Docente</t>
  </si>
  <si>
    <t>1. Organizar la exposición. 2. Preparar la explicación del problema. 3. Explicar objetivos, alcance y funcionamiento. 4. Ensayar la defensa.</t>
  </si>
  <si>
    <t>Todos</t>
  </si>
  <si>
    <t>Defensa del proyecto y demostración.</t>
  </si>
  <si>
    <t>Presentación del Proyecto</t>
  </si>
  <si>
    <t>Presentación del proyecto</t>
  </si>
  <si>
    <t>El programa debera Ahorrar energía en el hogar</t>
  </si>
  <si>
    <t>El programa debera Apagar la luz automáticamente</t>
  </si>
  <si>
    <t>El programa debera Brindar comodidad al usuario</t>
  </si>
  <si>
    <t>El programa debera reducir desperdicio de energía</t>
  </si>
  <si>
    <t>El programa debera Demostrar el funcionamiento del sistema</t>
  </si>
  <si>
    <t>El programa debera Evitar fallas en el sistema</t>
  </si>
  <si>
    <t>El programa debera Comprobar su utilidad en espacios comunes</t>
  </si>
  <si>
    <t>El programa debera Presentar el proyecto de forma clara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</si>
</sst>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</font>
    <font>
      <sz val="11"/>
      <color theme="1"/>
      <name val="Calibri"/>
    </font>
    <font>
      <b/>
      <i/>
      <sz val="11"/>
      <color rgb="FF9C6500"/>
      <name val="Calibri"/>
    </font>
    <font>
      <b/>
      <i/>
      <sz val="11"/>
      <color rgb="FFFF0000"/>
      <name val="Calibri"/>
    </font>
    <font>
      <sz val="11"/>
      <color rgb="FF000000"/>
      <name val="Arial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Arial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8"/>
      <name val="Arial"/>
    </font>
    <font>
      <b/>
      <i/>
      <u/>
      <sz val="16"/>
      <color theme="1"/>
      <name val="Calibri"/>
      <family val="2"/>
    </font>
    <font>
      <u/>
      <sz val="11"/>
      <color theme="1"/>
      <name val="Arial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vertical="center"/>
    </xf>
    <xf numFmtId="0" fontId="0" fillId="3" borderId="5" xfId="0" applyFill="1" applyBorder="1"/>
    <xf numFmtId="0" fontId="10" fillId="5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vertical="center"/>
    </xf>
    <xf numFmtId="0" fontId="10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3" borderId="20" xfId="0" applyFill="1" applyBorder="1"/>
    <xf numFmtId="0" fontId="0" fillId="3" borderId="21" xfId="0" applyFill="1" applyBorder="1"/>
    <xf numFmtId="0" fontId="0" fillId="3" borderId="22" xfId="0" applyFill="1" applyBorder="1"/>
    <xf numFmtId="0" fontId="0" fillId="3" borderId="7" xfId="0" applyFill="1" applyBorder="1"/>
    <xf numFmtId="0" fontId="5" fillId="3" borderId="9" xfId="0" applyFont="1" applyFill="1" applyBorder="1" applyAlignment="1">
      <alignment horizontal="left" vertical="center" wrapText="1"/>
    </xf>
    <xf numFmtId="0" fontId="1" fillId="3" borderId="9" xfId="0" applyFont="1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11" xfId="0" applyFill="1" applyBorder="1"/>
    <xf numFmtId="0" fontId="0" fillId="3" borderId="12" xfId="0" applyFill="1" applyBorder="1"/>
    <xf numFmtId="0" fontId="1" fillId="0" borderId="23" xfId="0" applyFont="1" applyBorder="1" applyAlignment="1">
      <alignment horizontal="center"/>
    </xf>
    <xf numFmtId="0" fontId="1" fillId="0" borderId="23" xfId="0" applyFont="1" applyBorder="1" applyAlignment="1">
      <alignment horizontal="center" vertical="center"/>
    </xf>
    <xf numFmtId="0" fontId="15" fillId="0" borderId="0" xfId="0" applyFont="1"/>
    <xf numFmtId="0" fontId="13" fillId="0" borderId="0" xfId="0" applyFont="1" applyAlignment="1">
      <alignment horizontal="center" vertical="center"/>
    </xf>
    <xf numFmtId="0" fontId="14" fillId="0" borderId="0" xfId="0" applyFont="1"/>
    <xf numFmtId="0" fontId="8" fillId="6" borderId="6" xfId="0" applyFont="1" applyFill="1" applyBorder="1" applyAlignment="1">
      <alignment horizontal="center" vertical="center"/>
    </xf>
    <xf numFmtId="0" fontId="7" fillId="0" borderId="10" xfId="0" applyFont="1" applyBorder="1"/>
    <xf numFmtId="0" fontId="7" fillId="0" borderId="13" xfId="0" applyFont="1" applyBorder="1"/>
    <xf numFmtId="0" fontId="1" fillId="5" borderId="7" xfId="0" applyFont="1" applyFill="1" applyBorder="1" applyAlignment="1">
      <alignment horizontal="center" vertical="center"/>
    </xf>
    <xf numFmtId="0" fontId="7" fillId="0" borderId="9" xfId="0" applyFont="1" applyBorder="1"/>
    <xf numFmtId="0" fontId="7" fillId="0" borderId="8" xfId="0" applyFont="1" applyBorder="1"/>
    <xf numFmtId="0" fontId="7" fillId="0" borderId="11" xfId="0" applyFont="1" applyBorder="1"/>
    <xf numFmtId="0" fontId="0" fillId="0" borderId="0" xfId="0"/>
    <xf numFmtId="0" fontId="7" fillId="0" borderId="12" xfId="0" applyFont="1" applyBorder="1"/>
    <xf numFmtId="0" fontId="7" fillId="0" borderId="20" xfId="0" applyFont="1" applyBorder="1"/>
    <xf numFmtId="0" fontId="7" fillId="0" borderId="21" xfId="0" applyFont="1" applyBorder="1"/>
    <xf numFmtId="0" fontId="7" fillId="0" borderId="22" xfId="0" applyFont="1" applyBorder="1"/>
    <xf numFmtId="0" fontId="10" fillId="2" borderId="14" xfId="0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6" xfId="0" applyFont="1" applyBorder="1"/>
    <xf numFmtId="0" fontId="7" fillId="0" borderId="17" xfId="0" applyFont="1" applyBorder="1"/>
    <xf numFmtId="0" fontId="7" fillId="0" borderId="18" xfId="0" applyFont="1" applyBorder="1"/>
    <xf numFmtId="0" fontId="7" fillId="0" borderId="19" xfId="0" applyFont="1" applyBorder="1"/>
    <xf numFmtId="0" fontId="8" fillId="4" borderId="1" xfId="0" applyFont="1" applyFill="1" applyBorder="1" applyAlignment="1">
      <alignment horizontal="center" vertical="center"/>
    </xf>
    <xf numFmtId="0" fontId="7" fillId="0" borderId="3" xfId="0" applyFont="1" applyBorder="1"/>
    <xf numFmtId="0" fontId="1" fillId="5" borderId="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5" borderId="7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0" fillId="0" borderId="23" xfId="0" applyBorder="1" applyAlignment="1">
      <alignment vertical="center" wrapText="1"/>
    </xf>
    <xf numFmtId="14" fontId="0" fillId="0" borderId="23" xfId="0" applyNumberFormat="1" applyBorder="1" applyAlignment="1">
      <alignment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topLeftCell="A10" zoomScale="85" zoomScaleNormal="85" workbookViewId="0">
      <selection activeCell="E14" sqref="E14"/>
    </sheetView>
  </sheetViews>
  <sheetFormatPr baseColWidth="10" defaultColWidth="12.59765625" defaultRowHeight="15" customHeight="1" x14ac:dyDescent="0.25"/>
  <cols>
    <col min="1" max="1" width="4.59765625" customWidth="1"/>
    <col min="2" max="2" width="8.09765625" customWidth="1"/>
    <col min="3" max="5" width="20.59765625" customWidth="1"/>
    <col min="6" max="6" width="10.59765625" customWidth="1"/>
    <col min="7" max="7" width="32.5" customWidth="1"/>
    <col min="8" max="12" width="10.59765625" customWidth="1"/>
    <col min="13" max="13" width="32.5" customWidth="1"/>
    <col min="14" max="15" width="20.59765625" customWidth="1"/>
    <col min="16" max="26" width="9.296875" customWidth="1"/>
  </cols>
  <sheetData>
    <row r="1" spans="1:26" ht="14.4" x14ac:dyDescent="0.3">
      <c r="I1" s="1"/>
      <c r="J1" s="1"/>
      <c r="K1" s="2"/>
      <c r="L1" s="3"/>
    </row>
    <row r="2" spans="1:26" ht="14.4" x14ac:dyDescent="0.3">
      <c r="I2" s="1"/>
      <c r="J2" s="1"/>
      <c r="K2" s="2"/>
      <c r="L2" s="3"/>
    </row>
    <row r="3" spans="1:26" ht="45" customHeight="1" x14ac:dyDescent="0.25">
      <c r="B3" s="31" t="s">
        <v>0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</row>
    <row r="4" spans="1:26" ht="5.25" customHeight="1" x14ac:dyDescent="0.3">
      <c r="H4" s="4"/>
      <c r="I4" s="1"/>
      <c r="J4" s="1"/>
      <c r="K4" s="2"/>
      <c r="L4" s="3"/>
    </row>
    <row r="5" spans="1:26" ht="78.75" customHeight="1" x14ac:dyDescent="0.25">
      <c r="B5" s="59" t="s">
        <v>1</v>
      </c>
      <c r="C5" s="59" t="s">
        <v>2</v>
      </c>
      <c r="D5" s="60" t="s">
        <v>3</v>
      </c>
      <c r="E5" s="59" t="s">
        <v>4</v>
      </c>
      <c r="F5" s="59" t="s">
        <v>5</v>
      </c>
      <c r="G5" s="59" t="s">
        <v>6</v>
      </c>
      <c r="H5" s="59" t="s">
        <v>7</v>
      </c>
      <c r="I5" s="59" t="s">
        <v>8</v>
      </c>
      <c r="J5" s="59" t="s">
        <v>9</v>
      </c>
      <c r="K5" s="59" t="s">
        <v>10</v>
      </c>
      <c r="L5" s="59" t="s">
        <v>11</v>
      </c>
      <c r="M5" s="59" t="s">
        <v>12</v>
      </c>
      <c r="N5" s="59" t="s">
        <v>13</v>
      </c>
      <c r="O5" s="59" t="s">
        <v>14</v>
      </c>
    </row>
    <row r="6" spans="1:26" ht="103.5" customHeight="1" x14ac:dyDescent="0.25">
      <c r="B6" s="61" t="s">
        <v>15</v>
      </c>
      <c r="C6" s="61" t="s">
        <v>32</v>
      </c>
      <c r="D6" s="61" t="s">
        <v>99</v>
      </c>
      <c r="E6" s="61" t="s">
        <v>33</v>
      </c>
      <c r="F6" s="61" t="s">
        <v>34</v>
      </c>
      <c r="G6" s="61" t="s">
        <v>35</v>
      </c>
      <c r="H6" s="61" t="s">
        <v>36</v>
      </c>
      <c r="I6" s="61" t="s">
        <v>37</v>
      </c>
      <c r="J6" s="62"/>
      <c r="K6" s="61" t="s">
        <v>18</v>
      </c>
      <c r="L6" s="61" t="s">
        <v>19</v>
      </c>
      <c r="M6" s="61" t="s">
        <v>38</v>
      </c>
      <c r="N6" s="61" t="s">
        <v>39</v>
      </c>
      <c r="O6" s="61" t="s">
        <v>40</v>
      </c>
    </row>
    <row r="7" spans="1:26" ht="99.75" customHeight="1" x14ac:dyDescent="0.25">
      <c r="A7" s="5"/>
      <c r="B7" s="61" t="s">
        <v>41</v>
      </c>
      <c r="C7" s="61" t="s">
        <v>42</v>
      </c>
      <c r="D7" s="61" t="s">
        <v>100</v>
      </c>
      <c r="E7" s="61" t="s">
        <v>43</v>
      </c>
      <c r="F7" s="61" t="s">
        <v>34</v>
      </c>
      <c r="G7" s="61" t="s">
        <v>44</v>
      </c>
      <c r="H7" s="61" t="s">
        <v>45</v>
      </c>
      <c r="I7" s="61" t="s">
        <v>46</v>
      </c>
      <c r="J7" s="62"/>
      <c r="K7" s="61" t="s">
        <v>18</v>
      </c>
      <c r="L7" s="61" t="s">
        <v>19</v>
      </c>
      <c r="M7" s="61" t="s">
        <v>47</v>
      </c>
      <c r="N7" s="61" t="s">
        <v>48</v>
      </c>
      <c r="O7" s="61" t="s">
        <v>49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78" customHeight="1" x14ac:dyDescent="0.25">
      <c r="B8" s="61" t="s">
        <v>50</v>
      </c>
      <c r="C8" s="61" t="s">
        <v>51</v>
      </c>
      <c r="D8" s="61" t="s">
        <v>101</v>
      </c>
      <c r="E8" s="61" t="s">
        <v>52</v>
      </c>
      <c r="F8" s="61" t="s">
        <v>34</v>
      </c>
      <c r="G8" s="61" t="s">
        <v>53</v>
      </c>
      <c r="H8" s="61" t="s">
        <v>54</v>
      </c>
      <c r="I8" s="61" t="s">
        <v>37</v>
      </c>
      <c r="J8" s="62"/>
      <c r="K8" s="61" t="s">
        <v>18</v>
      </c>
      <c r="L8" s="61" t="s">
        <v>19</v>
      </c>
      <c r="M8" s="61" t="s">
        <v>55</v>
      </c>
      <c r="N8" s="61" t="s">
        <v>56</v>
      </c>
      <c r="O8" s="61" t="s">
        <v>57</v>
      </c>
    </row>
    <row r="9" spans="1:26" ht="78" customHeight="1" x14ac:dyDescent="0.25">
      <c r="B9" s="61" t="s">
        <v>58</v>
      </c>
      <c r="C9" s="61" t="s">
        <v>59</v>
      </c>
      <c r="D9" s="61" t="s">
        <v>102</v>
      </c>
      <c r="E9" s="61" t="s">
        <v>60</v>
      </c>
      <c r="F9" s="61" t="s">
        <v>34</v>
      </c>
      <c r="G9" s="61" t="s">
        <v>61</v>
      </c>
      <c r="H9" s="61" t="s">
        <v>36</v>
      </c>
      <c r="I9" s="61" t="s">
        <v>46</v>
      </c>
      <c r="J9" s="62"/>
      <c r="K9" s="61" t="s">
        <v>62</v>
      </c>
      <c r="L9" s="61" t="s">
        <v>19</v>
      </c>
      <c r="M9" s="61" t="s">
        <v>63</v>
      </c>
      <c r="N9" s="61" t="s">
        <v>64</v>
      </c>
      <c r="O9" s="61" t="s">
        <v>65</v>
      </c>
    </row>
    <row r="10" spans="1:26" ht="66" customHeight="1" x14ac:dyDescent="0.25">
      <c r="B10" s="61" t="s">
        <v>66</v>
      </c>
      <c r="C10" s="61" t="s">
        <v>67</v>
      </c>
      <c r="D10" s="61" t="s">
        <v>103</v>
      </c>
      <c r="E10" s="61" t="s">
        <v>68</v>
      </c>
      <c r="F10" s="61" t="s">
        <v>69</v>
      </c>
      <c r="G10" s="61" t="s">
        <v>70</v>
      </c>
      <c r="H10" s="61" t="s">
        <v>45</v>
      </c>
      <c r="I10" s="61" t="s">
        <v>71</v>
      </c>
      <c r="J10" s="62"/>
      <c r="K10" s="61" t="s">
        <v>18</v>
      </c>
      <c r="L10" s="61" t="s">
        <v>19</v>
      </c>
      <c r="M10" s="61" t="s">
        <v>72</v>
      </c>
      <c r="N10" s="61" t="s">
        <v>73</v>
      </c>
      <c r="O10" s="61" t="s">
        <v>74</v>
      </c>
      <c r="P10" s="30"/>
    </row>
    <row r="11" spans="1:26" ht="99.75" customHeight="1" x14ac:dyDescent="0.25">
      <c r="B11" s="61" t="s">
        <v>75</v>
      </c>
      <c r="C11" s="61" t="s">
        <v>76</v>
      </c>
      <c r="D11" s="61" t="s">
        <v>104</v>
      </c>
      <c r="E11" s="61" t="s">
        <v>77</v>
      </c>
      <c r="F11" s="61" t="s">
        <v>78</v>
      </c>
      <c r="G11" s="61" t="s">
        <v>79</v>
      </c>
      <c r="H11" s="61" t="s">
        <v>54</v>
      </c>
      <c r="I11" s="61" t="s">
        <v>37</v>
      </c>
      <c r="J11" s="62"/>
      <c r="K11" s="61" t="s">
        <v>62</v>
      </c>
      <c r="L11" s="61" t="s">
        <v>19</v>
      </c>
      <c r="M11" s="61" t="s">
        <v>80</v>
      </c>
      <c r="N11" s="61" t="s">
        <v>81</v>
      </c>
      <c r="O11" s="61" t="s">
        <v>82</v>
      </c>
    </row>
    <row r="12" spans="1:26" ht="72" customHeight="1" x14ac:dyDescent="0.25">
      <c r="B12" s="61" t="s">
        <v>83</v>
      </c>
      <c r="C12" s="61" t="s">
        <v>84</v>
      </c>
      <c r="D12" s="61" t="s">
        <v>105</v>
      </c>
      <c r="E12" s="61" t="s">
        <v>85</v>
      </c>
      <c r="F12" s="61" t="s">
        <v>34</v>
      </c>
      <c r="G12" s="61" t="s">
        <v>86</v>
      </c>
      <c r="H12" s="61" t="s">
        <v>36</v>
      </c>
      <c r="I12" s="61" t="s">
        <v>37</v>
      </c>
      <c r="J12" s="62"/>
      <c r="K12" s="61" t="s">
        <v>62</v>
      </c>
      <c r="L12" s="61" t="s">
        <v>19</v>
      </c>
      <c r="M12" s="61" t="s">
        <v>87</v>
      </c>
      <c r="N12" s="61" t="s">
        <v>88</v>
      </c>
      <c r="O12" s="61" t="s">
        <v>89</v>
      </c>
    </row>
    <row r="13" spans="1:26" ht="65.25" customHeight="1" x14ac:dyDescent="0.25">
      <c r="B13" s="61" t="s">
        <v>90</v>
      </c>
      <c r="C13" s="61" t="s">
        <v>91</v>
      </c>
      <c r="D13" s="61" t="s">
        <v>106</v>
      </c>
      <c r="E13" s="61" t="s">
        <v>92</v>
      </c>
      <c r="F13" s="61" t="s">
        <v>93</v>
      </c>
      <c r="G13" s="61" t="s">
        <v>94</v>
      </c>
      <c r="H13" s="61" t="s">
        <v>95</v>
      </c>
      <c r="I13" s="61" t="s">
        <v>46</v>
      </c>
      <c r="J13" s="62"/>
      <c r="K13" s="61" t="s">
        <v>18</v>
      </c>
      <c r="L13" s="61" t="s">
        <v>19</v>
      </c>
      <c r="M13" s="61" t="s">
        <v>96</v>
      </c>
      <c r="N13" s="61" t="s">
        <v>98</v>
      </c>
      <c r="O13" s="61" t="s">
        <v>97</v>
      </c>
    </row>
    <row r="14" spans="1:26" ht="64.5" customHeight="1" x14ac:dyDescent="0.25">
      <c r="I14" s="1"/>
      <c r="J14" s="1"/>
      <c r="K14" s="7"/>
      <c r="L14" s="3"/>
    </row>
    <row r="15" spans="1:26" ht="39.75" customHeight="1" x14ac:dyDescent="0.3">
      <c r="I15" s="1"/>
      <c r="J15" s="1"/>
      <c r="K15" s="2"/>
      <c r="L15" s="3"/>
    </row>
    <row r="16" spans="1:26" ht="39.75" customHeight="1" x14ac:dyDescent="0.3">
      <c r="I16" s="1"/>
      <c r="J16" s="1"/>
      <c r="K16" s="2"/>
      <c r="L16" s="3"/>
    </row>
    <row r="17" spans="9:13" ht="39.75" customHeight="1" x14ac:dyDescent="0.3">
      <c r="I17" s="1"/>
      <c r="J17" s="1"/>
      <c r="K17" s="2"/>
      <c r="L17" s="3"/>
    </row>
    <row r="18" spans="9:13" ht="19.5" customHeight="1" x14ac:dyDescent="0.3">
      <c r="I18" s="1"/>
      <c r="J18" s="1"/>
      <c r="K18" s="28" t="s">
        <v>18</v>
      </c>
      <c r="L18" s="29" t="s">
        <v>19</v>
      </c>
      <c r="M18" s="4"/>
    </row>
    <row r="19" spans="9:13" ht="19.5" customHeight="1" x14ac:dyDescent="0.3">
      <c r="I19" s="1"/>
      <c r="J19" s="1"/>
      <c r="K19" s="28" t="s">
        <v>16</v>
      </c>
      <c r="L19" s="29" t="s">
        <v>20</v>
      </c>
      <c r="M19" s="4"/>
    </row>
    <row r="20" spans="9:13" ht="19.5" customHeight="1" x14ac:dyDescent="0.3">
      <c r="I20" s="1"/>
      <c r="J20" s="1"/>
      <c r="K20" s="28" t="s">
        <v>21</v>
      </c>
      <c r="L20" s="29" t="s">
        <v>17</v>
      </c>
      <c r="M20" s="4"/>
    </row>
    <row r="21" spans="9:13" ht="19.5" customHeight="1" x14ac:dyDescent="0.3">
      <c r="I21" s="1"/>
      <c r="J21" s="1"/>
      <c r="K21" s="28"/>
      <c r="L21" s="29" t="s">
        <v>22</v>
      </c>
      <c r="M21" s="4"/>
    </row>
    <row r="22" spans="9:13" ht="19.5" customHeight="1" x14ac:dyDescent="0.3">
      <c r="I22" s="1"/>
      <c r="J22" s="1"/>
      <c r="K22" s="2"/>
      <c r="L22" s="3"/>
    </row>
    <row r="23" spans="9:13" ht="19.5" customHeight="1" x14ac:dyDescent="0.3">
      <c r="I23" s="1"/>
      <c r="J23" s="1"/>
      <c r="K23" s="2"/>
      <c r="L23" s="3"/>
    </row>
    <row r="24" spans="9:13" ht="19.5" customHeight="1" x14ac:dyDescent="0.3">
      <c r="I24" s="1"/>
      <c r="J24" s="1"/>
      <c r="K24" s="2"/>
      <c r="L24" s="3"/>
    </row>
    <row r="25" spans="9:13" ht="19.5" customHeight="1" x14ac:dyDescent="0.3">
      <c r="I25" s="1"/>
      <c r="J25" s="1"/>
      <c r="K25" s="2"/>
      <c r="L25" s="3"/>
    </row>
    <row r="26" spans="9:13" ht="19.5" customHeight="1" x14ac:dyDescent="0.3">
      <c r="I26" s="1"/>
      <c r="J26" s="1"/>
      <c r="K26" s="2"/>
      <c r="L26" s="3"/>
    </row>
    <row r="27" spans="9:13" ht="19.5" customHeight="1" x14ac:dyDescent="0.3">
      <c r="I27" s="1"/>
      <c r="J27" s="1"/>
      <c r="K27" s="2"/>
      <c r="L27" s="3"/>
    </row>
    <row r="28" spans="9:13" ht="19.5" customHeight="1" x14ac:dyDescent="0.3">
      <c r="I28" s="1"/>
      <c r="J28" s="1"/>
      <c r="K28" s="2"/>
      <c r="L28" s="3"/>
    </row>
    <row r="29" spans="9:13" ht="19.5" customHeight="1" x14ac:dyDescent="0.3">
      <c r="I29" s="1"/>
      <c r="J29" s="1"/>
      <c r="K29" s="2"/>
      <c r="L29" s="3"/>
    </row>
    <row r="30" spans="9:13" ht="19.5" customHeight="1" x14ac:dyDescent="0.3">
      <c r="I30" s="1"/>
      <c r="J30" s="1"/>
      <c r="K30" s="2"/>
      <c r="L30" s="3"/>
    </row>
    <row r="31" spans="9:13" ht="19.5" customHeight="1" x14ac:dyDescent="0.3">
      <c r="I31" s="1"/>
      <c r="J31" s="1"/>
      <c r="K31" s="2"/>
      <c r="L31" s="3"/>
    </row>
    <row r="32" spans="9:13" ht="19.5" customHeight="1" x14ac:dyDescent="0.3">
      <c r="I32" s="1"/>
      <c r="J32" s="1"/>
      <c r="K32" s="2"/>
      <c r="L32" s="3"/>
    </row>
    <row r="33" spans="9:12" ht="15.75" customHeight="1" x14ac:dyDescent="0.3">
      <c r="I33" s="1"/>
      <c r="J33" s="1"/>
      <c r="K33" s="2"/>
      <c r="L33" s="3"/>
    </row>
    <row r="34" spans="9:12" ht="15.75" customHeight="1" x14ac:dyDescent="0.3">
      <c r="I34" s="1"/>
      <c r="J34" s="1"/>
      <c r="K34" s="2"/>
      <c r="L34" s="3"/>
    </row>
    <row r="35" spans="9:12" ht="15.75" customHeight="1" x14ac:dyDescent="0.3">
      <c r="I35" s="1"/>
      <c r="J35" s="1"/>
      <c r="K35" s="2"/>
      <c r="L35" s="3"/>
    </row>
    <row r="36" spans="9:12" ht="15.75" customHeight="1" x14ac:dyDescent="0.3">
      <c r="I36" s="1"/>
      <c r="J36" s="1"/>
      <c r="K36" s="2"/>
      <c r="L36" s="3"/>
    </row>
    <row r="37" spans="9:12" ht="15.75" customHeight="1" x14ac:dyDescent="0.3">
      <c r="I37" s="1"/>
      <c r="J37" s="1"/>
      <c r="K37" s="2"/>
      <c r="L37" s="3"/>
    </row>
    <row r="38" spans="9:12" ht="15.75" customHeight="1" x14ac:dyDescent="0.3">
      <c r="I38" s="1"/>
      <c r="J38" s="1"/>
      <c r="K38" s="2"/>
      <c r="L38" s="3"/>
    </row>
    <row r="39" spans="9:12" ht="15.75" customHeight="1" x14ac:dyDescent="0.3">
      <c r="I39" s="1"/>
      <c r="J39" s="1"/>
      <c r="K39" s="2"/>
      <c r="L39" s="3"/>
    </row>
    <row r="40" spans="9:12" ht="15.75" customHeight="1" x14ac:dyDescent="0.3">
      <c r="I40" s="1"/>
      <c r="J40" s="1"/>
      <c r="K40" s="2"/>
      <c r="L40" s="3"/>
    </row>
    <row r="41" spans="9:12" ht="15.75" customHeight="1" x14ac:dyDescent="0.3">
      <c r="I41" s="1"/>
      <c r="J41" s="1"/>
      <c r="K41" s="2"/>
      <c r="L41" s="3"/>
    </row>
    <row r="42" spans="9:12" ht="15.75" customHeight="1" x14ac:dyDescent="0.3">
      <c r="I42" s="1"/>
      <c r="J42" s="1"/>
      <c r="K42" s="2"/>
      <c r="L42" s="3"/>
    </row>
    <row r="43" spans="9:12" ht="15.75" customHeight="1" x14ac:dyDescent="0.3">
      <c r="I43" s="1"/>
      <c r="J43" s="1"/>
      <c r="K43" s="2"/>
      <c r="L43" s="3"/>
    </row>
    <row r="44" spans="9:12" ht="15.75" customHeight="1" x14ac:dyDescent="0.3">
      <c r="I44" s="1"/>
      <c r="J44" s="1"/>
      <c r="K44" s="2"/>
      <c r="L44" s="3"/>
    </row>
    <row r="45" spans="9:12" ht="15.75" customHeight="1" x14ac:dyDescent="0.3">
      <c r="I45" s="1"/>
      <c r="J45" s="1"/>
      <c r="K45" s="2"/>
      <c r="L45" s="3"/>
    </row>
    <row r="46" spans="9:12" ht="15.75" customHeight="1" x14ac:dyDescent="0.3">
      <c r="I46" s="1"/>
      <c r="J46" s="1"/>
      <c r="K46" s="2"/>
      <c r="L46" s="3"/>
    </row>
    <row r="47" spans="9:12" ht="15.75" customHeight="1" x14ac:dyDescent="0.3">
      <c r="I47" s="1"/>
      <c r="J47" s="1"/>
      <c r="K47" s="2"/>
      <c r="L47" s="3"/>
    </row>
    <row r="48" spans="9:12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25">
      <c r="I988" s="3"/>
      <c r="J988" s="3"/>
      <c r="K988" s="6"/>
      <c r="L988" s="3"/>
    </row>
    <row r="989" spans="9:12" ht="15.75" customHeight="1" x14ac:dyDescent="0.25">
      <c r="I989" s="3"/>
      <c r="J989" s="3"/>
      <c r="K989" s="6"/>
      <c r="L989" s="3"/>
    </row>
    <row r="990" spans="9:12" ht="15.75" customHeight="1" x14ac:dyDescent="0.25"/>
    <row r="991" spans="9:12" ht="15.75" customHeight="1" x14ac:dyDescent="0.25"/>
    <row r="992" spans="9:1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B3:O3"/>
  </mergeCells>
  <phoneticPr fontId="12" type="noConversion"/>
  <printOptions horizontalCentered="1"/>
  <pageMargins left="0.31496062992125984" right="0.31496062992125984" top="0.74803149606299213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="70" zoomScaleNormal="70" workbookViewId="0">
      <selection activeCell="K31" sqref="K31"/>
    </sheetView>
  </sheetViews>
  <sheetFormatPr baseColWidth="10" defaultColWidth="12.59765625" defaultRowHeight="15" customHeight="1" x14ac:dyDescent="0.25"/>
  <cols>
    <col min="1" max="1" width="9.296875" customWidth="1"/>
    <col min="2" max="2" width="2.59765625" customWidth="1"/>
    <col min="3" max="15" width="10.59765625" customWidth="1"/>
    <col min="16" max="16" width="2.59765625" customWidth="1"/>
    <col min="17" max="26" width="9.296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56" t="s">
        <v>23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2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51" t="s">
        <v>24</v>
      </c>
      <c r="F9" s="52"/>
      <c r="G9" s="11"/>
      <c r="H9" s="51" t="s">
        <v>11</v>
      </c>
      <c r="I9" s="52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75</v>
      </c>
      <c r="D10" s="14"/>
      <c r="E10" s="53" t="str">
        <f>VLOOKUP(C10,'Formato descripción HU'!B6:O14,5,0)</f>
        <v>Estudiantes</v>
      </c>
      <c r="F10" s="52"/>
      <c r="G10" s="15"/>
      <c r="H10" s="53" t="str">
        <f>VLOOKUP(C10,'Formato descripción HU'!B6:O14,11,0)</f>
        <v>No iniciado</v>
      </c>
      <c r="I10" s="52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25</v>
      </c>
      <c r="D12" s="14"/>
      <c r="E12" s="51" t="s">
        <v>10</v>
      </c>
      <c r="F12" s="52"/>
      <c r="G12" s="15"/>
      <c r="H12" s="51" t="s">
        <v>26</v>
      </c>
      <c r="I12" s="52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 t="str">
        <f>VLOOKUP('Historia de Usuario'!C10,'Formato descripción HU'!B6:O14,8,0)</f>
        <v>3 horas</v>
      </c>
      <c r="D13" s="14"/>
      <c r="E13" s="53" t="str">
        <f>VLOOKUP(C10,'Formato descripción HU'!B6:O14,10,0)</f>
        <v>Media</v>
      </c>
      <c r="F13" s="52"/>
      <c r="G13" s="15"/>
      <c r="H13" s="53" t="str">
        <f>VLOOKUP(C10,'Formato descripción HU'!B6:O14,7,0)</f>
        <v>Santiago</v>
      </c>
      <c r="I13" s="52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33" t="s">
        <v>27</v>
      </c>
      <c r="D15" s="58" t="str">
        <f>VLOOKUP(C10,'Formato descripción HU'!B6:O14,3,0)</f>
        <v>El programa debera Evitar fallas en el sistema</v>
      </c>
      <c r="E15" s="38"/>
      <c r="F15" s="12"/>
      <c r="G15" s="33" t="s">
        <v>28</v>
      </c>
      <c r="H15" s="58" t="str">
        <f>VLOOKUP(C10,'Formato descripción HU'!B6:O14,4,0)</f>
        <v>Revisar el código del proyecto</v>
      </c>
      <c r="I15" s="37"/>
      <c r="J15" s="38"/>
      <c r="K15" s="12"/>
      <c r="L15" s="33" t="s">
        <v>29</v>
      </c>
      <c r="M15" s="36" t="str">
        <f>VLOOKUP(C10,'Formato descripción HU'!B6:O14,6,0)</f>
        <v>1. Escribir el código. 2. Verificar las condiciones. 3. Corregir errores si la luz no responde bien.</v>
      </c>
      <c r="N15" s="37"/>
      <c r="O15" s="38"/>
      <c r="P15" s="27"/>
    </row>
    <row r="16" spans="2:16" ht="19.5" customHeight="1" x14ac:dyDescent="0.25">
      <c r="B16" s="26"/>
      <c r="C16" s="34"/>
      <c r="D16" s="39"/>
      <c r="E16" s="41"/>
      <c r="F16" s="12"/>
      <c r="G16" s="34"/>
      <c r="H16" s="39"/>
      <c r="I16" s="40"/>
      <c r="J16" s="41"/>
      <c r="K16" s="12"/>
      <c r="L16" s="34"/>
      <c r="M16" s="39"/>
      <c r="N16" s="40"/>
      <c r="O16" s="41"/>
      <c r="P16" s="27"/>
    </row>
    <row r="17" spans="2:16" ht="19.5" customHeight="1" x14ac:dyDescent="0.25">
      <c r="B17" s="26"/>
      <c r="C17" s="35"/>
      <c r="D17" s="42"/>
      <c r="E17" s="44"/>
      <c r="F17" s="12"/>
      <c r="G17" s="35"/>
      <c r="H17" s="42"/>
      <c r="I17" s="43"/>
      <c r="J17" s="44"/>
      <c r="K17" s="12"/>
      <c r="L17" s="35"/>
      <c r="M17" s="42"/>
      <c r="N17" s="43"/>
      <c r="O17" s="44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54" t="s">
        <v>30</v>
      </c>
      <c r="D19" s="38"/>
      <c r="E19" s="45" t="str">
        <f>VLOOKUP(C10,'Formato descripción HU'!B6:O14,14,0)</f>
        <v>Validación del Código</v>
      </c>
      <c r="F19" s="46"/>
      <c r="G19" s="46"/>
      <c r="H19" s="46"/>
      <c r="I19" s="46"/>
      <c r="J19" s="46"/>
      <c r="K19" s="46"/>
      <c r="L19" s="46"/>
      <c r="M19" s="46"/>
      <c r="N19" s="46"/>
      <c r="O19" s="47"/>
      <c r="P19" s="27"/>
    </row>
    <row r="20" spans="2:16" ht="19.5" customHeight="1" x14ac:dyDescent="0.25">
      <c r="B20" s="26"/>
      <c r="C20" s="42"/>
      <c r="D20" s="44"/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50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55" t="s">
        <v>31</v>
      </c>
      <c r="D22" s="38"/>
      <c r="E22" s="36" t="str">
        <f>VLOOKUP(C10,'Formato descripción HU'!B6:O14,12,0)</f>
        <v>Ejecutar el programa y validar el resultado.</v>
      </c>
      <c r="F22" s="37"/>
      <c r="G22" s="37"/>
      <c r="H22" s="38"/>
      <c r="I22" s="12"/>
      <c r="J22" s="55" t="s">
        <v>13</v>
      </c>
      <c r="K22" s="38"/>
      <c r="L22" s="36" t="str">
        <f>VLOOKUP(C10,'Formato descripción HU'!B6:O14,13,0)</f>
        <v>Prueba de programación</v>
      </c>
      <c r="M22" s="37"/>
      <c r="N22" s="37"/>
      <c r="O22" s="38"/>
      <c r="P22" s="27"/>
    </row>
    <row r="23" spans="2:16" ht="19.5" customHeight="1" x14ac:dyDescent="0.25">
      <c r="B23" s="26"/>
      <c r="C23" s="39"/>
      <c r="D23" s="41"/>
      <c r="E23" s="39"/>
      <c r="F23" s="40"/>
      <c r="G23" s="40"/>
      <c r="H23" s="41"/>
      <c r="I23" s="12"/>
      <c r="J23" s="39"/>
      <c r="K23" s="41"/>
      <c r="L23" s="39"/>
      <c r="M23" s="40"/>
      <c r="N23" s="40"/>
      <c r="O23" s="41"/>
      <c r="P23" s="27"/>
    </row>
    <row r="24" spans="2:16" ht="19.5" customHeight="1" x14ac:dyDescent="0.25">
      <c r="B24" s="26"/>
      <c r="C24" s="42"/>
      <c r="D24" s="44"/>
      <c r="E24" s="42"/>
      <c r="F24" s="43"/>
      <c r="G24" s="43"/>
      <c r="H24" s="44"/>
      <c r="I24" s="12"/>
      <c r="J24" s="42"/>
      <c r="K24" s="44"/>
      <c r="L24" s="42"/>
      <c r="M24" s="43"/>
      <c r="N24" s="43"/>
      <c r="O24" s="44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HU'!$B$6:$B$11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SOFIA FIGUEROA</cp:lastModifiedBy>
  <cp:revision/>
  <dcterms:created xsi:type="dcterms:W3CDTF">2019-10-21T15:37:14Z</dcterms:created>
  <dcterms:modified xsi:type="dcterms:W3CDTF">2026-06-10T15:38:56Z</dcterms:modified>
  <cp:category/>
  <cp:contentStatus/>
</cp:coreProperties>
</file>